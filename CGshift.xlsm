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fi\"/>
    </mc:Choice>
  </mc:AlternateContent>
  <bookViews>
    <workbookView xWindow="0" yWindow="0" windowWidth="20490" windowHeight="7650"/>
  </bookViews>
  <sheets>
    <sheet name="Sheet1" sheetId="1" r:id="rId1"/>
    <sheet name="Sheet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" i="1" l="1"/>
  <c r="Z2" i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Y34" i="1" s="1"/>
  <c r="X35" i="1"/>
  <c r="X36" i="1"/>
  <c r="X37" i="1"/>
  <c r="X38" i="1"/>
  <c r="Y38" i="1" s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Y98" i="1" s="1"/>
  <c r="X99" i="1"/>
  <c r="X100" i="1"/>
  <c r="X101" i="1"/>
  <c r="X102" i="1"/>
  <c r="Y102" i="1" s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Y294" i="1" s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Y310" i="1" s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Y327" i="1" s="1"/>
  <c r="X328" i="1"/>
  <c r="X329" i="1"/>
  <c r="X330" i="1"/>
  <c r="X331" i="1"/>
  <c r="X332" i="1"/>
  <c r="X333" i="1"/>
  <c r="X334" i="1"/>
  <c r="X335" i="1"/>
  <c r="Y335" i="1" s="1"/>
  <c r="X336" i="1"/>
  <c r="X337" i="1"/>
  <c r="X338" i="1"/>
  <c r="X339" i="1"/>
  <c r="X340" i="1"/>
  <c r="X341" i="1"/>
  <c r="X342" i="1"/>
  <c r="X343" i="1"/>
  <c r="Y343" i="1" s="1"/>
  <c r="X344" i="1"/>
  <c r="X345" i="1"/>
  <c r="X346" i="1"/>
  <c r="X347" i="1"/>
  <c r="Y347" i="1" s="1"/>
  <c r="X348" i="1"/>
  <c r="X349" i="1"/>
  <c r="X350" i="1"/>
  <c r="X351" i="1"/>
  <c r="Y351" i="1" s="1"/>
  <c r="X352" i="1"/>
  <c r="X353" i="1"/>
  <c r="X354" i="1"/>
  <c r="X355" i="1"/>
  <c r="Y355" i="1" s="1"/>
  <c r="X356" i="1"/>
  <c r="X357" i="1"/>
  <c r="X358" i="1"/>
  <c r="Y358" i="1" s="1"/>
  <c r="X359" i="1"/>
  <c r="X360" i="1"/>
  <c r="X361" i="1"/>
  <c r="X362" i="1"/>
  <c r="X2" i="1"/>
  <c r="W3" i="1"/>
  <c r="W4" i="1"/>
  <c r="W5" i="1"/>
  <c r="W6" i="1"/>
  <c r="W7" i="1"/>
  <c r="W8" i="1"/>
  <c r="W9" i="1"/>
  <c r="W10" i="1"/>
  <c r="Y10" i="1" s="1"/>
  <c r="W11" i="1"/>
  <c r="W12" i="1"/>
  <c r="W13" i="1"/>
  <c r="W14" i="1"/>
  <c r="Y14" i="1" s="1"/>
  <c r="W15" i="1"/>
  <c r="W16" i="1"/>
  <c r="W17" i="1"/>
  <c r="W18" i="1"/>
  <c r="Y18" i="1" s="1"/>
  <c r="W19" i="1"/>
  <c r="W20" i="1"/>
  <c r="W21" i="1"/>
  <c r="W22" i="1"/>
  <c r="Y22" i="1" s="1"/>
  <c r="W23" i="1"/>
  <c r="W24" i="1"/>
  <c r="W25" i="1"/>
  <c r="W26" i="1"/>
  <c r="Y26" i="1" s="1"/>
  <c r="W27" i="1"/>
  <c r="W28" i="1"/>
  <c r="W29" i="1"/>
  <c r="W30" i="1"/>
  <c r="Y30" i="1" s="1"/>
  <c r="W31" i="1"/>
  <c r="W32" i="1"/>
  <c r="W33" i="1"/>
  <c r="W34" i="1"/>
  <c r="W35" i="1"/>
  <c r="W36" i="1"/>
  <c r="W37" i="1"/>
  <c r="W38" i="1"/>
  <c r="W39" i="1"/>
  <c r="W40" i="1"/>
  <c r="W41" i="1"/>
  <c r="W42" i="1"/>
  <c r="Y42" i="1" s="1"/>
  <c r="W43" i="1"/>
  <c r="W44" i="1"/>
  <c r="W45" i="1"/>
  <c r="W46" i="1"/>
  <c r="Y46" i="1" s="1"/>
  <c r="W47" i="1"/>
  <c r="W48" i="1"/>
  <c r="W49" i="1"/>
  <c r="W50" i="1"/>
  <c r="Y50" i="1" s="1"/>
  <c r="W51" i="1"/>
  <c r="W52" i="1"/>
  <c r="W53" i="1"/>
  <c r="W54" i="1"/>
  <c r="Y54" i="1" s="1"/>
  <c r="W55" i="1"/>
  <c r="W56" i="1"/>
  <c r="W57" i="1"/>
  <c r="W58" i="1"/>
  <c r="Y58" i="1" s="1"/>
  <c r="W59" i="1"/>
  <c r="W60" i="1"/>
  <c r="W61" i="1"/>
  <c r="W62" i="1"/>
  <c r="Y62" i="1" s="1"/>
  <c r="W63" i="1"/>
  <c r="W64" i="1"/>
  <c r="W65" i="1"/>
  <c r="W66" i="1"/>
  <c r="W67" i="1"/>
  <c r="W68" i="1"/>
  <c r="W69" i="1"/>
  <c r="W70" i="1"/>
  <c r="W71" i="1"/>
  <c r="W72" i="1"/>
  <c r="W73" i="1"/>
  <c r="W74" i="1"/>
  <c r="Y74" i="1" s="1"/>
  <c r="W75" i="1"/>
  <c r="W76" i="1"/>
  <c r="W77" i="1"/>
  <c r="W78" i="1"/>
  <c r="Y78" i="1" s="1"/>
  <c r="W79" i="1"/>
  <c r="W80" i="1"/>
  <c r="W81" i="1"/>
  <c r="W82" i="1"/>
  <c r="Y82" i="1" s="1"/>
  <c r="W83" i="1"/>
  <c r="W84" i="1"/>
  <c r="W85" i="1"/>
  <c r="W86" i="1"/>
  <c r="Y86" i="1" s="1"/>
  <c r="W87" i="1"/>
  <c r="W88" i="1"/>
  <c r="W89" i="1"/>
  <c r="W90" i="1"/>
  <c r="Y90" i="1" s="1"/>
  <c r="W91" i="1"/>
  <c r="W92" i="1"/>
  <c r="W93" i="1"/>
  <c r="W94" i="1"/>
  <c r="Y94" i="1" s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Y114" i="1" s="1"/>
  <c r="W115" i="1"/>
  <c r="W116" i="1"/>
  <c r="W117" i="1"/>
  <c r="W118" i="1"/>
  <c r="Y118" i="1" s="1"/>
  <c r="W119" i="1"/>
  <c r="W120" i="1"/>
  <c r="W121" i="1"/>
  <c r="W122" i="1"/>
  <c r="Y122" i="1" s="1"/>
  <c r="W123" i="1"/>
  <c r="W124" i="1"/>
  <c r="W125" i="1"/>
  <c r="W126" i="1"/>
  <c r="Y126" i="1" s="1"/>
  <c r="W127" i="1"/>
  <c r="W128" i="1"/>
  <c r="W129" i="1"/>
  <c r="W130" i="1"/>
  <c r="Y130" i="1" s="1"/>
  <c r="W131" i="1"/>
  <c r="W132" i="1"/>
  <c r="W133" i="1"/>
  <c r="W134" i="1"/>
  <c r="Y134" i="1" s="1"/>
  <c r="W135" i="1"/>
  <c r="W136" i="1"/>
  <c r="W137" i="1"/>
  <c r="W138" i="1"/>
  <c r="Y138" i="1" s="1"/>
  <c r="W139" i="1"/>
  <c r="W140" i="1"/>
  <c r="W141" i="1"/>
  <c r="W142" i="1"/>
  <c r="Y142" i="1" s="1"/>
  <c r="W143" i="1"/>
  <c r="W144" i="1"/>
  <c r="W145" i="1"/>
  <c r="W146" i="1"/>
  <c r="Y146" i="1" s="1"/>
  <c r="W147" i="1"/>
  <c r="W148" i="1"/>
  <c r="W149" i="1"/>
  <c r="W150" i="1"/>
  <c r="W151" i="1"/>
  <c r="W152" i="1"/>
  <c r="W153" i="1"/>
  <c r="W154" i="1"/>
  <c r="Y154" i="1" s="1"/>
  <c r="W155" i="1"/>
  <c r="W156" i="1"/>
  <c r="W157" i="1"/>
  <c r="W158" i="1"/>
  <c r="W159" i="1"/>
  <c r="W160" i="1"/>
  <c r="W161" i="1"/>
  <c r="W162" i="1"/>
  <c r="Y162" i="1" s="1"/>
  <c r="W163" i="1"/>
  <c r="W164" i="1"/>
  <c r="W165" i="1"/>
  <c r="W166" i="1"/>
  <c r="W167" i="1"/>
  <c r="W168" i="1"/>
  <c r="W169" i="1"/>
  <c r="W170" i="1"/>
  <c r="Y170" i="1" s="1"/>
  <c r="W171" i="1"/>
  <c r="W172" i="1"/>
  <c r="W173" i="1"/>
  <c r="W174" i="1"/>
  <c r="W175" i="1"/>
  <c r="W176" i="1"/>
  <c r="W177" i="1"/>
  <c r="W178" i="1"/>
  <c r="Y178" i="1" s="1"/>
  <c r="W179" i="1"/>
  <c r="W180" i="1"/>
  <c r="W181" i="1"/>
  <c r="W182" i="1"/>
  <c r="W183" i="1"/>
  <c r="W184" i="1"/>
  <c r="W185" i="1"/>
  <c r="W186" i="1"/>
  <c r="Y186" i="1" s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Y282" i="1" s="1"/>
  <c r="W283" i="1"/>
  <c r="W284" i="1"/>
  <c r="W285" i="1"/>
  <c r="W286" i="1"/>
  <c r="Y286" i="1" s="1"/>
  <c r="W287" i="1"/>
  <c r="W288" i="1"/>
  <c r="W289" i="1"/>
  <c r="W290" i="1"/>
  <c r="Y290" i="1" s="1"/>
  <c r="W291" i="1"/>
  <c r="W292" i="1"/>
  <c r="W293" i="1"/>
  <c r="W294" i="1"/>
  <c r="W295" i="1"/>
  <c r="W296" i="1"/>
  <c r="W297" i="1"/>
  <c r="W298" i="1"/>
  <c r="Y298" i="1" s="1"/>
  <c r="W299" i="1"/>
  <c r="W300" i="1"/>
  <c r="W301" i="1"/>
  <c r="W302" i="1"/>
  <c r="Y302" i="1" s="1"/>
  <c r="W303" i="1"/>
  <c r="W304" i="1"/>
  <c r="W305" i="1"/>
  <c r="W306" i="1"/>
  <c r="Y306" i="1" s="1"/>
  <c r="W307" i="1"/>
  <c r="W308" i="1"/>
  <c r="W309" i="1"/>
  <c r="W310" i="1"/>
  <c r="W311" i="1"/>
  <c r="W312" i="1"/>
  <c r="W313" i="1"/>
  <c r="W314" i="1"/>
  <c r="Y314" i="1" s="1"/>
  <c r="W315" i="1"/>
  <c r="W316" i="1"/>
  <c r="W317" i="1"/>
  <c r="W318" i="1"/>
  <c r="Y318" i="1" s="1"/>
  <c r="W319" i="1"/>
  <c r="W320" i="1"/>
  <c r="W321" i="1"/>
  <c r="W322" i="1"/>
  <c r="Y322" i="1" s="1"/>
  <c r="W323" i="1"/>
  <c r="W324" i="1"/>
  <c r="W325" i="1"/>
  <c r="W326" i="1"/>
  <c r="W327" i="1"/>
  <c r="W328" i="1"/>
  <c r="W329" i="1"/>
  <c r="W330" i="1"/>
  <c r="Y330" i="1" s="1"/>
  <c r="W331" i="1"/>
  <c r="W332" i="1"/>
  <c r="W333" i="1"/>
  <c r="W334" i="1"/>
  <c r="Y334" i="1" s="1"/>
  <c r="W335" i="1"/>
  <c r="W336" i="1"/>
  <c r="W337" i="1"/>
  <c r="W338" i="1"/>
  <c r="Y338" i="1" s="1"/>
  <c r="W339" i="1"/>
  <c r="W340" i="1"/>
  <c r="W341" i="1"/>
  <c r="W342" i="1"/>
  <c r="W343" i="1"/>
  <c r="W344" i="1"/>
  <c r="W345" i="1"/>
  <c r="W346" i="1"/>
  <c r="Y346" i="1" s="1"/>
  <c r="W347" i="1"/>
  <c r="W348" i="1"/>
  <c r="W349" i="1"/>
  <c r="W350" i="1"/>
  <c r="Y350" i="1" s="1"/>
  <c r="W351" i="1"/>
  <c r="W352" i="1"/>
  <c r="W353" i="1"/>
  <c r="W354" i="1"/>
  <c r="Y354" i="1" s="1"/>
  <c r="W355" i="1"/>
  <c r="W356" i="1"/>
  <c r="W357" i="1"/>
  <c r="W358" i="1"/>
  <c r="W359" i="1"/>
  <c r="W360" i="1"/>
  <c r="W361" i="1"/>
  <c r="W362" i="1"/>
  <c r="Y362" i="1" s="1"/>
  <c r="W2" i="1"/>
  <c r="V3" i="1"/>
  <c r="V4" i="1"/>
  <c r="V5" i="1"/>
  <c r="V6" i="1"/>
  <c r="V7" i="1"/>
  <c r="V8" i="1"/>
  <c r="V9" i="1"/>
  <c r="V10" i="1"/>
  <c r="Z10" i="1" s="1"/>
  <c r="V11" i="1"/>
  <c r="V12" i="1"/>
  <c r="V13" i="1"/>
  <c r="V14" i="1"/>
  <c r="V15" i="1"/>
  <c r="V16" i="1"/>
  <c r="V17" i="1"/>
  <c r="V18" i="1"/>
  <c r="Z18" i="1" s="1"/>
  <c r="V19" i="1"/>
  <c r="V20" i="1"/>
  <c r="V21" i="1"/>
  <c r="V22" i="1"/>
  <c r="V23" i="1"/>
  <c r="V24" i="1"/>
  <c r="V25" i="1"/>
  <c r="V26" i="1"/>
  <c r="Z26" i="1" s="1"/>
  <c r="V27" i="1"/>
  <c r="V28" i="1"/>
  <c r="V29" i="1"/>
  <c r="V30" i="1"/>
  <c r="V31" i="1"/>
  <c r="V32" i="1"/>
  <c r="V33" i="1"/>
  <c r="V34" i="1"/>
  <c r="Z34" i="1" s="1"/>
  <c r="V35" i="1"/>
  <c r="V36" i="1"/>
  <c r="V37" i="1"/>
  <c r="V38" i="1"/>
  <c r="V39" i="1"/>
  <c r="V40" i="1"/>
  <c r="V41" i="1"/>
  <c r="V42" i="1"/>
  <c r="Z42" i="1" s="1"/>
  <c r="V43" i="1"/>
  <c r="V44" i="1"/>
  <c r="V45" i="1"/>
  <c r="V46" i="1"/>
  <c r="V47" i="1"/>
  <c r="V48" i="1"/>
  <c r="V49" i="1"/>
  <c r="V50" i="1"/>
  <c r="Z50" i="1" s="1"/>
  <c r="V51" i="1"/>
  <c r="V52" i="1"/>
  <c r="V53" i="1"/>
  <c r="V54" i="1"/>
  <c r="V55" i="1"/>
  <c r="V56" i="1"/>
  <c r="V57" i="1"/>
  <c r="V58" i="1"/>
  <c r="Z58" i="1" s="1"/>
  <c r="V59" i="1"/>
  <c r="V60" i="1"/>
  <c r="V61" i="1"/>
  <c r="V62" i="1"/>
  <c r="V63" i="1"/>
  <c r="V64" i="1"/>
  <c r="V65" i="1"/>
  <c r="V66" i="1"/>
  <c r="Z66" i="1" s="1"/>
  <c r="V67" i="1"/>
  <c r="V68" i="1"/>
  <c r="V69" i="1"/>
  <c r="V70" i="1"/>
  <c r="V71" i="1"/>
  <c r="V72" i="1"/>
  <c r="V73" i="1"/>
  <c r="V74" i="1"/>
  <c r="Z74" i="1" s="1"/>
  <c r="V75" i="1"/>
  <c r="V76" i="1"/>
  <c r="V77" i="1"/>
  <c r="V78" i="1"/>
  <c r="V79" i="1"/>
  <c r="V80" i="1"/>
  <c r="V81" i="1"/>
  <c r="V82" i="1"/>
  <c r="Z82" i="1" s="1"/>
  <c r="V83" i="1"/>
  <c r="V84" i="1"/>
  <c r="V85" i="1"/>
  <c r="V86" i="1"/>
  <c r="V87" i="1"/>
  <c r="V88" i="1"/>
  <c r="V89" i="1"/>
  <c r="V90" i="1"/>
  <c r="Z90" i="1" s="1"/>
  <c r="V91" i="1"/>
  <c r="V92" i="1"/>
  <c r="V93" i="1"/>
  <c r="V94" i="1"/>
  <c r="V95" i="1"/>
  <c r="V96" i="1"/>
  <c r="V97" i="1"/>
  <c r="V98" i="1"/>
  <c r="Z98" i="1" s="1"/>
  <c r="V99" i="1"/>
  <c r="V100" i="1"/>
  <c r="V101" i="1"/>
  <c r="V102" i="1"/>
  <c r="V103" i="1"/>
  <c r="V104" i="1"/>
  <c r="V105" i="1"/>
  <c r="V106" i="1"/>
  <c r="Z106" i="1" s="1"/>
  <c r="V107" i="1"/>
  <c r="V108" i="1"/>
  <c r="V109" i="1"/>
  <c r="V110" i="1"/>
  <c r="Z110" i="1" s="1"/>
  <c r="V111" i="1"/>
  <c r="V112" i="1"/>
  <c r="V113" i="1"/>
  <c r="V114" i="1"/>
  <c r="Z114" i="1" s="1"/>
  <c r="V115" i="1"/>
  <c r="V116" i="1"/>
  <c r="V117" i="1"/>
  <c r="V118" i="1"/>
  <c r="Z118" i="1" s="1"/>
  <c r="V119" i="1"/>
  <c r="V120" i="1"/>
  <c r="V121" i="1"/>
  <c r="V122" i="1"/>
  <c r="Z122" i="1" s="1"/>
  <c r="V123" i="1"/>
  <c r="V124" i="1"/>
  <c r="V125" i="1"/>
  <c r="V126" i="1"/>
  <c r="Z126" i="1" s="1"/>
  <c r="V127" i="1"/>
  <c r="V128" i="1"/>
  <c r="V129" i="1"/>
  <c r="V130" i="1"/>
  <c r="Z130" i="1" s="1"/>
  <c r="V131" i="1"/>
  <c r="V132" i="1"/>
  <c r="V133" i="1"/>
  <c r="V134" i="1"/>
  <c r="Z134" i="1" s="1"/>
  <c r="V135" i="1"/>
  <c r="V136" i="1"/>
  <c r="V137" i="1"/>
  <c r="V138" i="1"/>
  <c r="Z138" i="1" s="1"/>
  <c r="V139" i="1"/>
  <c r="V140" i="1"/>
  <c r="V141" i="1"/>
  <c r="V142" i="1"/>
  <c r="Z142" i="1" s="1"/>
  <c r="V143" i="1"/>
  <c r="V144" i="1"/>
  <c r="V145" i="1"/>
  <c r="V146" i="1"/>
  <c r="Z146" i="1" s="1"/>
  <c r="V147" i="1"/>
  <c r="V148" i="1"/>
  <c r="V149" i="1"/>
  <c r="V150" i="1"/>
  <c r="Z150" i="1" s="1"/>
  <c r="V151" i="1"/>
  <c r="V152" i="1"/>
  <c r="V153" i="1"/>
  <c r="V154" i="1"/>
  <c r="Z154" i="1" s="1"/>
  <c r="V155" i="1"/>
  <c r="V156" i="1"/>
  <c r="V157" i="1"/>
  <c r="V158" i="1"/>
  <c r="Z158" i="1" s="1"/>
  <c r="V159" i="1"/>
  <c r="V160" i="1"/>
  <c r="V161" i="1"/>
  <c r="V162" i="1"/>
  <c r="Z162" i="1" s="1"/>
  <c r="V163" i="1"/>
  <c r="V164" i="1"/>
  <c r="V165" i="1"/>
  <c r="V166" i="1"/>
  <c r="Z166" i="1" s="1"/>
  <c r="V167" i="1"/>
  <c r="V168" i="1"/>
  <c r="V169" i="1"/>
  <c r="V170" i="1"/>
  <c r="Z170" i="1" s="1"/>
  <c r="V171" i="1"/>
  <c r="V172" i="1"/>
  <c r="V173" i="1"/>
  <c r="V174" i="1"/>
  <c r="Z174" i="1" s="1"/>
  <c r="V175" i="1"/>
  <c r="V176" i="1"/>
  <c r="V177" i="1"/>
  <c r="V178" i="1"/>
  <c r="Z178" i="1" s="1"/>
  <c r="V179" i="1"/>
  <c r="V180" i="1"/>
  <c r="V181" i="1"/>
  <c r="V182" i="1"/>
  <c r="Z182" i="1" s="1"/>
  <c r="V183" i="1"/>
  <c r="V184" i="1"/>
  <c r="V185" i="1"/>
  <c r="V186" i="1"/>
  <c r="Z186" i="1" s="1"/>
  <c r="V187" i="1"/>
  <c r="V188" i="1"/>
  <c r="V189" i="1"/>
  <c r="V190" i="1"/>
  <c r="Z190" i="1" s="1"/>
  <c r="V191" i="1"/>
  <c r="V192" i="1"/>
  <c r="V193" i="1"/>
  <c r="V194" i="1"/>
  <c r="V195" i="1"/>
  <c r="V196" i="1"/>
  <c r="V197" i="1"/>
  <c r="V198" i="1"/>
  <c r="Z198" i="1" s="1"/>
  <c r="V199" i="1"/>
  <c r="V200" i="1"/>
  <c r="V201" i="1"/>
  <c r="V202" i="1"/>
  <c r="Z202" i="1" s="1"/>
  <c r="V203" i="1"/>
  <c r="V204" i="1"/>
  <c r="V205" i="1"/>
  <c r="V206" i="1"/>
  <c r="V207" i="1"/>
  <c r="V208" i="1"/>
  <c r="V209" i="1"/>
  <c r="V210" i="1"/>
  <c r="Z210" i="1" s="1"/>
  <c r="V211" i="1"/>
  <c r="V212" i="1"/>
  <c r="V213" i="1"/>
  <c r="V214" i="1"/>
  <c r="Z214" i="1" s="1"/>
  <c r="V215" i="1"/>
  <c r="V216" i="1"/>
  <c r="V217" i="1"/>
  <c r="V218" i="1"/>
  <c r="V219" i="1"/>
  <c r="V220" i="1"/>
  <c r="V221" i="1"/>
  <c r="V222" i="1"/>
  <c r="Z222" i="1" s="1"/>
  <c r="V223" i="1"/>
  <c r="V224" i="1"/>
  <c r="V225" i="1"/>
  <c r="V226" i="1"/>
  <c r="Z226" i="1" s="1"/>
  <c r="V227" i="1"/>
  <c r="V228" i="1"/>
  <c r="V229" i="1"/>
  <c r="V230" i="1"/>
  <c r="Z230" i="1" s="1"/>
  <c r="V231" i="1"/>
  <c r="V232" i="1"/>
  <c r="V233" i="1"/>
  <c r="V234" i="1"/>
  <c r="V235" i="1"/>
  <c r="V236" i="1"/>
  <c r="V237" i="1"/>
  <c r="V238" i="1"/>
  <c r="Z238" i="1" s="1"/>
  <c r="V239" i="1"/>
  <c r="V240" i="1"/>
  <c r="V241" i="1"/>
  <c r="V242" i="1"/>
  <c r="Z242" i="1" s="1"/>
  <c r="V243" i="1"/>
  <c r="V244" i="1"/>
  <c r="V245" i="1"/>
  <c r="V246" i="1"/>
  <c r="Z246" i="1" s="1"/>
  <c r="V247" i="1"/>
  <c r="V248" i="1"/>
  <c r="V249" i="1"/>
  <c r="V250" i="1"/>
  <c r="V251" i="1"/>
  <c r="V252" i="1"/>
  <c r="V253" i="1"/>
  <c r="V254" i="1"/>
  <c r="Z254" i="1" s="1"/>
  <c r="V255" i="1"/>
  <c r="V256" i="1"/>
  <c r="V257" i="1"/>
  <c r="V258" i="1"/>
  <c r="Z258" i="1" s="1"/>
  <c r="V259" i="1"/>
  <c r="V260" i="1"/>
  <c r="V261" i="1"/>
  <c r="V262" i="1"/>
  <c r="Z262" i="1" s="1"/>
  <c r="V263" i="1"/>
  <c r="V264" i="1"/>
  <c r="V265" i="1"/>
  <c r="V266" i="1"/>
  <c r="V267" i="1"/>
  <c r="V268" i="1"/>
  <c r="V269" i="1"/>
  <c r="V270" i="1"/>
  <c r="Z270" i="1" s="1"/>
  <c r="V271" i="1"/>
  <c r="V272" i="1"/>
  <c r="V273" i="1"/>
  <c r="V274" i="1"/>
  <c r="Z274" i="1" s="1"/>
  <c r="V275" i="1"/>
  <c r="V276" i="1"/>
  <c r="V277" i="1"/>
  <c r="V278" i="1"/>
  <c r="Z278" i="1" s="1"/>
  <c r="V279" i="1"/>
  <c r="V280" i="1"/>
  <c r="V281" i="1"/>
  <c r="V282" i="1"/>
  <c r="Z282" i="1" s="1"/>
  <c r="V283" i="1"/>
  <c r="V284" i="1"/>
  <c r="V285" i="1"/>
  <c r="V286" i="1"/>
  <c r="Z286" i="1" s="1"/>
  <c r="V287" i="1"/>
  <c r="V288" i="1"/>
  <c r="V289" i="1"/>
  <c r="V290" i="1"/>
  <c r="Z290" i="1" s="1"/>
  <c r="V291" i="1"/>
  <c r="V292" i="1"/>
  <c r="V293" i="1"/>
  <c r="V294" i="1"/>
  <c r="Z294" i="1" s="1"/>
  <c r="V295" i="1"/>
  <c r="V296" i="1"/>
  <c r="V297" i="1"/>
  <c r="V298" i="1"/>
  <c r="Z298" i="1" s="1"/>
  <c r="V299" i="1"/>
  <c r="V300" i="1"/>
  <c r="V301" i="1"/>
  <c r="V302" i="1"/>
  <c r="Z302" i="1" s="1"/>
  <c r="V303" i="1"/>
  <c r="V304" i="1"/>
  <c r="V305" i="1"/>
  <c r="V306" i="1"/>
  <c r="Z306" i="1" s="1"/>
  <c r="V307" i="1"/>
  <c r="V308" i="1"/>
  <c r="V309" i="1"/>
  <c r="V310" i="1"/>
  <c r="Z310" i="1" s="1"/>
  <c r="V311" i="1"/>
  <c r="V312" i="1"/>
  <c r="V313" i="1"/>
  <c r="V314" i="1"/>
  <c r="Z314" i="1" s="1"/>
  <c r="V315" i="1"/>
  <c r="V316" i="1"/>
  <c r="V317" i="1"/>
  <c r="V318" i="1"/>
  <c r="Z318" i="1" s="1"/>
  <c r="V319" i="1"/>
  <c r="V320" i="1"/>
  <c r="V321" i="1"/>
  <c r="V322" i="1"/>
  <c r="Z322" i="1" s="1"/>
  <c r="V323" i="1"/>
  <c r="V324" i="1"/>
  <c r="V325" i="1"/>
  <c r="V326" i="1"/>
  <c r="Z326" i="1" s="1"/>
  <c r="V327" i="1"/>
  <c r="V328" i="1"/>
  <c r="V329" i="1"/>
  <c r="V330" i="1"/>
  <c r="Z330" i="1" s="1"/>
  <c r="V331" i="1"/>
  <c r="V332" i="1"/>
  <c r="V333" i="1"/>
  <c r="V334" i="1"/>
  <c r="Z334" i="1" s="1"/>
  <c r="V335" i="1"/>
  <c r="V336" i="1"/>
  <c r="V337" i="1"/>
  <c r="V338" i="1"/>
  <c r="Z338" i="1" s="1"/>
  <c r="V339" i="1"/>
  <c r="V340" i="1"/>
  <c r="V341" i="1"/>
  <c r="V342" i="1"/>
  <c r="Z342" i="1" s="1"/>
  <c r="V343" i="1"/>
  <c r="V344" i="1"/>
  <c r="V345" i="1"/>
  <c r="V346" i="1"/>
  <c r="Z346" i="1" s="1"/>
  <c r="V347" i="1"/>
  <c r="V348" i="1"/>
  <c r="V349" i="1"/>
  <c r="V350" i="1"/>
  <c r="Z350" i="1" s="1"/>
  <c r="V351" i="1"/>
  <c r="V352" i="1"/>
  <c r="V353" i="1"/>
  <c r="V354" i="1"/>
  <c r="Z354" i="1" s="1"/>
  <c r="V355" i="1"/>
  <c r="V356" i="1"/>
  <c r="V357" i="1"/>
  <c r="V358" i="1"/>
  <c r="Z358" i="1" s="1"/>
  <c r="V359" i="1"/>
  <c r="V360" i="1"/>
  <c r="V361" i="1"/>
  <c r="V362" i="1"/>
  <c r="Z362" i="1" s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V2" i="1"/>
  <c r="U2" i="1"/>
  <c r="Y361" i="1"/>
  <c r="Z361" i="1"/>
  <c r="Y360" i="1"/>
  <c r="Z360" i="1"/>
  <c r="Y359" i="1"/>
  <c r="Z359" i="1"/>
  <c r="Y357" i="1"/>
  <c r="Z357" i="1"/>
  <c r="Y356" i="1"/>
  <c r="Z356" i="1"/>
  <c r="Z355" i="1"/>
  <c r="Y353" i="1"/>
  <c r="Z353" i="1"/>
  <c r="Y352" i="1"/>
  <c r="Z352" i="1"/>
  <c r="Z351" i="1"/>
  <c r="Y349" i="1"/>
  <c r="Z349" i="1"/>
  <c r="Y348" i="1"/>
  <c r="Z348" i="1"/>
  <c r="Z347" i="1"/>
  <c r="Y345" i="1"/>
  <c r="Z345" i="1"/>
  <c r="Y344" i="1"/>
  <c r="Z344" i="1"/>
  <c r="Z343" i="1"/>
  <c r="Y342" i="1"/>
  <c r="Y341" i="1"/>
  <c r="Z341" i="1"/>
  <c r="Y340" i="1"/>
  <c r="Z340" i="1"/>
  <c r="Y339" i="1"/>
  <c r="Z339" i="1"/>
  <c r="Y337" i="1"/>
  <c r="Z337" i="1"/>
  <c r="Y336" i="1"/>
  <c r="Z336" i="1"/>
  <c r="Z335" i="1"/>
  <c r="Y333" i="1"/>
  <c r="Z333" i="1"/>
  <c r="Y332" i="1"/>
  <c r="Z332" i="1"/>
  <c r="Y331" i="1"/>
  <c r="Z331" i="1"/>
  <c r="Y329" i="1"/>
  <c r="Z329" i="1"/>
  <c r="Y328" i="1"/>
  <c r="Z328" i="1"/>
  <c r="Z327" i="1"/>
  <c r="Y326" i="1"/>
  <c r="Y325" i="1"/>
  <c r="Z325" i="1"/>
  <c r="Y324" i="1"/>
  <c r="Z324" i="1"/>
  <c r="Y323" i="1"/>
  <c r="Z323" i="1"/>
  <c r="Y321" i="1"/>
  <c r="Z321" i="1"/>
  <c r="Y320" i="1"/>
  <c r="Z320" i="1"/>
  <c r="Y319" i="1"/>
  <c r="Z319" i="1"/>
  <c r="Y317" i="1"/>
  <c r="Z317" i="1"/>
  <c r="Y316" i="1"/>
  <c r="Z316" i="1"/>
  <c r="Y315" i="1"/>
  <c r="Z315" i="1"/>
  <c r="Y313" i="1"/>
  <c r="Z313" i="1"/>
  <c r="Y312" i="1"/>
  <c r="Z312" i="1"/>
  <c r="Y311" i="1"/>
  <c r="Z311" i="1"/>
  <c r="Y309" i="1"/>
  <c r="Z309" i="1"/>
  <c r="Y308" i="1"/>
  <c r="Z308" i="1"/>
  <c r="Y307" i="1"/>
  <c r="Z307" i="1"/>
  <c r="Y305" i="1"/>
  <c r="Z305" i="1"/>
  <c r="Y304" i="1"/>
  <c r="Z304" i="1"/>
  <c r="Y303" i="1"/>
  <c r="Z303" i="1"/>
  <c r="Y301" i="1"/>
  <c r="Z301" i="1"/>
  <c r="Y300" i="1"/>
  <c r="Z300" i="1"/>
  <c r="Y299" i="1"/>
  <c r="Z299" i="1"/>
  <c r="Y297" i="1"/>
  <c r="Z297" i="1"/>
  <c r="Y296" i="1"/>
  <c r="Z296" i="1"/>
  <c r="Y295" i="1"/>
  <c r="Z295" i="1"/>
  <c r="Y293" i="1"/>
  <c r="Z293" i="1"/>
  <c r="Y292" i="1"/>
  <c r="Z292" i="1"/>
  <c r="Y291" i="1"/>
  <c r="Z291" i="1"/>
  <c r="Y289" i="1"/>
  <c r="Z289" i="1"/>
  <c r="Y288" i="1"/>
  <c r="Z288" i="1"/>
  <c r="Y287" i="1"/>
  <c r="Z287" i="1"/>
  <c r="Y285" i="1"/>
  <c r="Z285" i="1"/>
  <c r="Y284" i="1"/>
  <c r="Z284" i="1"/>
  <c r="Y283" i="1"/>
  <c r="Z283" i="1"/>
  <c r="Y281" i="1"/>
  <c r="Z281" i="1"/>
  <c r="Y280" i="1"/>
  <c r="Z280" i="1"/>
  <c r="Y279" i="1"/>
  <c r="Z279" i="1"/>
  <c r="Y278" i="1"/>
  <c r="Y277" i="1"/>
  <c r="Z277" i="1"/>
  <c r="Z276" i="1"/>
  <c r="Y275" i="1"/>
  <c r="Z275" i="1"/>
  <c r="Y273" i="1"/>
  <c r="Z273" i="1"/>
  <c r="Z272" i="1"/>
  <c r="Y271" i="1"/>
  <c r="Z271" i="1"/>
  <c r="Y269" i="1"/>
  <c r="Z269" i="1"/>
  <c r="Z268" i="1"/>
  <c r="Y268" i="1"/>
  <c r="Y267" i="1"/>
  <c r="Z267" i="1"/>
  <c r="Z266" i="1"/>
  <c r="Z265" i="1"/>
  <c r="Y265" i="1"/>
  <c r="Y264" i="1"/>
  <c r="Z264" i="1"/>
  <c r="Y263" i="1"/>
  <c r="Z263" i="1"/>
  <c r="Y261" i="1"/>
  <c r="Z261" i="1"/>
  <c r="Z260" i="1"/>
  <c r="Y260" i="1"/>
  <c r="Y259" i="1"/>
  <c r="Z259" i="1"/>
  <c r="Z257" i="1"/>
  <c r="Y257" i="1"/>
  <c r="Y256" i="1"/>
  <c r="Z256" i="1"/>
  <c r="Y255" i="1"/>
  <c r="Z255" i="1"/>
  <c r="Y253" i="1"/>
  <c r="Z253" i="1"/>
  <c r="Z252" i="1"/>
  <c r="Y251" i="1"/>
  <c r="Z251" i="1"/>
  <c r="Z250" i="1"/>
  <c r="Z249" i="1"/>
  <c r="Y249" i="1"/>
  <c r="Y248" i="1"/>
  <c r="Z248" i="1"/>
  <c r="Y247" i="1"/>
  <c r="Z247" i="1"/>
  <c r="Y245" i="1"/>
  <c r="Z245" i="1"/>
  <c r="Z244" i="1"/>
  <c r="Y243" i="1"/>
  <c r="Z243" i="1"/>
  <c r="Z241" i="1"/>
  <c r="Y241" i="1"/>
  <c r="Y240" i="1"/>
  <c r="Z240" i="1"/>
  <c r="Y239" i="1"/>
  <c r="Z239" i="1"/>
  <c r="Y237" i="1"/>
  <c r="Z237" i="1"/>
  <c r="Z236" i="1"/>
  <c r="Y235" i="1"/>
  <c r="Z235" i="1"/>
  <c r="Z234" i="1"/>
  <c r="Z233" i="1"/>
  <c r="Y233" i="1"/>
  <c r="Y232" i="1"/>
  <c r="Z232" i="1"/>
  <c r="Y231" i="1"/>
  <c r="Z231" i="1"/>
  <c r="Y229" i="1"/>
  <c r="Z229" i="1"/>
  <c r="Z228" i="1"/>
  <c r="Y227" i="1"/>
  <c r="Z227" i="1"/>
  <c r="Z225" i="1"/>
  <c r="Y225" i="1"/>
  <c r="Y224" i="1"/>
  <c r="Z224" i="1"/>
  <c r="Y223" i="1"/>
  <c r="Z223" i="1"/>
  <c r="Y221" i="1"/>
  <c r="Z221" i="1"/>
  <c r="Z220" i="1"/>
  <c r="Y219" i="1"/>
  <c r="Z219" i="1"/>
  <c r="Z218" i="1"/>
  <c r="Z217" i="1"/>
  <c r="Y217" i="1"/>
  <c r="Y216" i="1"/>
  <c r="Z216" i="1"/>
  <c r="Y215" i="1"/>
  <c r="Z215" i="1"/>
  <c r="Y213" i="1"/>
  <c r="Z213" i="1"/>
  <c r="Z212" i="1"/>
  <c r="Y211" i="1"/>
  <c r="Z211" i="1"/>
  <c r="Y209" i="1"/>
  <c r="Z209" i="1"/>
  <c r="Y208" i="1"/>
  <c r="Z208" i="1"/>
  <c r="Y207" i="1"/>
  <c r="Z207" i="1"/>
  <c r="Z206" i="1"/>
  <c r="Y205" i="1"/>
  <c r="Z205" i="1"/>
  <c r="Z204" i="1"/>
  <c r="Y203" i="1"/>
  <c r="Z203" i="1"/>
  <c r="Y201" i="1"/>
  <c r="Z201" i="1"/>
  <c r="Y200" i="1"/>
  <c r="Z200" i="1"/>
  <c r="Y199" i="1"/>
  <c r="Z199" i="1"/>
  <c r="Y197" i="1"/>
  <c r="Z197" i="1"/>
  <c r="Z196" i="1"/>
  <c r="Y195" i="1"/>
  <c r="Z195" i="1"/>
  <c r="Z194" i="1"/>
  <c r="Y193" i="1"/>
  <c r="Z193" i="1"/>
  <c r="Y192" i="1"/>
  <c r="Z192" i="1"/>
  <c r="Z191" i="1"/>
  <c r="Y191" i="1"/>
  <c r="Z189" i="1"/>
  <c r="Y189" i="1"/>
  <c r="Z188" i="1"/>
  <c r="Y187" i="1"/>
  <c r="Z187" i="1"/>
  <c r="Y185" i="1"/>
  <c r="Z185" i="1"/>
  <c r="Y184" i="1"/>
  <c r="Z184" i="1"/>
  <c r="Z183" i="1"/>
  <c r="Y183" i="1"/>
  <c r="Z181" i="1"/>
  <c r="Y181" i="1"/>
  <c r="Z180" i="1"/>
  <c r="Y179" i="1"/>
  <c r="Z179" i="1"/>
  <c r="Y177" i="1"/>
  <c r="Z177" i="1"/>
  <c r="Y176" i="1"/>
  <c r="Z176" i="1"/>
  <c r="Z175" i="1"/>
  <c r="Y175" i="1"/>
  <c r="Z173" i="1"/>
  <c r="Y173" i="1"/>
  <c r="Z172" i="1"/>
  <c r="Y171" i="1"/>
  <c r="Z171" i="1"/>
  <c r="Y169" i="1"/>
  <c r="Z169" i="1"/>
  <c r="Y168" i="1"/>
  <c r="Z168" i="1"/>
  <c r="Z167" i="1"/>
  <c r="Y167" i="1"/>
  <c r="Z165" i="1"/>
  <c r="Y165" i="1"/>
  <c r="Z164" i="1"/>
  <c r="Y163" i="1"/>
  <c r="Z163" i="1"/>
  <c r="Y161" i="1"/>
  <c r="Z161" i="1"/>
  <c r="Y160" i="1"/>
  <c r="Z160" i="1"/>
  <c r="Z159" i="1"/>
  <c r="Y159" i="1"/>
  <c r="Z157" i="1"/>
  <c r="Y157" i="1"/>
  <c r="Z156" i="1"/>
  <c r="Y155" i="1"/>
  <c r="Z155" i="1"/>
  <c r="Y153" i="1"/>
  <c r="Z153" i="1"/>
  <c r="Y152" i="1"/>
  <c r="Z152" i="1"/>
  <c r="Z151" i="1"/>
  <c r="Y151" i="1"/>
  <c r="Z149" i="1"/>
  <c r="Y149" i="1"/>
  <c r="Z148" i="1"/>
  <c r="Y147" i="1"/>
  <c r="Z147" i="1"/>
  <c r="Z145" i="1"/>
  <c r="Y145" i="1"/>
  <c r="Z144" i="1"/>
  <c r="Y143" i="1"/>
  <c r="Z143" i="1"/>
  <c r="Z141" i="1"/>
  <c r="Y141" i="1"/>
  <c r="Z140" i="1"/>
  <c r="Y139" i="1"/>
  <c r="Z139" i="1"/>
  <c r="Z137" i="1"/>
  <c r="Y137" i="1"/>
  <c r="Z136" i="1"/>
  <c r="Y135" i="1"/>
  <c r="Z135" i="1"/>
  <c r="Z133" i="1"/>
  <c r="Y133" i="1"/>
  <c r="Z132" i="1"/>
  <c r="Y131" i="1"/>
  <c r="Z131" i="1"/>
  <c r="Z129" i="1"/>
  <c r="Y129" i="1"/>
  <c r="Z128" i="1"/>
  <c r="Y127" i="1"/>
  <c r="Z127" i="1"/>
  <c r="Z125" i="1"/>
  <c r="Y125" i="1"/>
  <c r="Z124" i="1"/>
  <c r="Y123" i="1"/>
  <c r="Z123" i="1"/>
  <c r="Z121" i="1"/>
  <c r="Y121" i="1"/>
  <c r="Z120" i="1"/>
  <c r="Y119" i="1"/>
  <c r="Z119" i="1"/>
  <c r="Z117" i="1"/>
  <c r="Y117" i="1"/>
  <c r="Z116" i="1"/>
  <c r="Y115" i="1"/>
  <c r="Z115" i="1"/>
  <c r="Z113" i="1"/>
  <c r="Y113" i="1"/>
  <c r="Z112" i="1"/>
  <c r="Y111" i="1"/>
  <c r="Z111" i="1"/>
  <c r="Y109" i="1"/>
  <c r="Z109" i="1"/>
  <c r="Y108" i="1"/>
  <c r="Z108" i="1"/>
  <c r="Y107" i="1"/>
  <c r="Z107" i="1"/>
  <c r="Y106" i="1"/>
  <c r="Y105" i="1"/>
  <c r="Z105" i="1"/>
  <c r="Z104" i="1"/>
  <c r="Y103" i="1"/>
  <c r="Z103" i="1"/>
  <c r="Z102" i="1"/>
  <c r="Y101" i="1"/>
  <c r="Z101" i="1"/>
  <c r="Y100" i="1"/>
  <c r="Z100" i="1"/>
  <c r="Y99" i="1"/>
  <c r="Z99" i="1"/>
  <c r="Y97" i="1"/>
  <c r="Z97" i="1"/>
  <c r="Y96" i="1"/>
  <c r="Z96" i="1"/>
  <c r="Y95" i="1"/>
  <c r="Z95" i="1"/>
  <c r="Z94" i="1"/>
  <c r="Y93" i="1"/>
  <c r="Z93" i="1"/>
  <c r="Y92" i="1"/>
  <c r="Z92" i="1"/>
  <c r="Y91" i="1"/>
  <c r="Z91" i="1"/>
  <c r="Y89" i="1"/>
  <c r="Z89" i="1"/>
  <c r="Y88" i="1"/>
  <c r="Z88" i="1"/>
  <c r="Y87" i="1"/>
  <c r="Z87" i="1"/>
  <c r="Z86" i="1"/>
  <c r="Y85" i="1"/>
  <c r="Z85" i="1"/>
  <c r="Y84" i="1"/>
  <c r="Z84" i="1"/>
  <c r="Y83" i="1"/>
  <c r="Z83" i="1"/>
  <c r="Y81" i="1"/>
  <c r="Z81" i="1"/>
  <c r="Y80" i="1"/>
  <c r="Z80" i="1"/>
  <c r="Y79" i="1"/>
  <c r="Z79" i="1"/>
  <c r="Z78" i="1"/>
  <c r="Y77" i="1"/>
  <c r="Z77" i="1"/>
  <c r="Y76" i="1"/>
  <c r="Z76" i="1"/>
  <c r="Y75" i="1"/>
  <c r="Z75" i="1"/>
  <c r="Y73" i="1"/>
  <c r="Z73" i="1"/>
  <c r="Y72" i="1"/>
  <c r="Z72" i="1"/>
  <c r="Y71" i="1"/>
  <c r="Z71" i="1"/>
  <c r="Y70" i="1"/>
  <c r="Z70" i="1"/>
  <c r="Y69" i="1"/>
  <c r="Z69" i="1"/>
  <c r="Y68" i="1"/>
  <c r="Z68" i="1"/>
  <c r="Y67" i="1"/>
  <c r="Z67" i="1"/>
  <c r="Y66" i="1"/>
  <c r="Y65" i="1"/>
  <c r="Z65" i="1"/>
  <c r="Y64" i="1"/>
  <c r="Z64" i="1"/>
  <c r="Y63" i="1"/>
  <c r="Z63" i="1"/>
  <c r="Z62" i="1"/>
  <c r="Y61" i="1"/>
  <c r="Z61" i="1"/>
  <c r="Y60" i="1"/>
  <c r="Z60" i="1"/>
  <c r="Y59" i="1"/>
  <c r="Z59" i="1"/>
  <c r="Y57" i="1"/>
  <c r="Z57" i="1"/>
  <c r="Y56" i="1"/>
  <c r="Z56" i="1"/>
  <c r="Y55" i="1"/>
  <c r="Z55" i="1"/>
  <c r="Z54" i="1"/>
  <c r="Y53" i="1"/>
  <c r="Z53" i="1"/>
  <c r="Y52" i="1"/>
  <c r="Z52" i="1"/>
  <c r="Y51" i="1"/>
  <c r="Z51" i="1"/>
  <c r="Y49" i="1"/>
  <c r="Z49" i="1"/>
  <c r="Y48" i="1"/>
  <c r="Z48" i="1"/>
  <c r="Y47" i="1"/>
  <c r="Z47" i="1"/>
  <c r="Z46" i="1"/>
  <c r="Y45" i="1"/>
  <c r="Z45" i="1"/>
  <c r="Y44" i="1"/>
  <c r="Z44" i="1"/>
  <c r="Y43" i="1"/>
  <c r="Z43" i="1"/>
  <c r="Y41" i="1"/>
  <c r="Z41" i="1"/>
  <c r="Y40" i="1"/>
  <c r="Z40" i="1"/>
  <c r="Y39" i="1"/>
  <c r="Z39" i="1"/>
  <c r="Z38" i="1"/>
  <c r="Y37" i="1"/>
  <c r="Z37" i="1"/>
  <c r="Y36" i="1"/>
  <c r="Z36" i="1"/>
  <c r="Y35" i="1"/>
  <c r="Z35" i="1"/>
  <c r="Y33" i="1"/>
  <c r="Z33" i="1"/>
  <c r="Y32" i="1"/>
  <c r="Z32" i="1"/>
  <c r="Y31" i="1"/>
  <c r="Z31" i="1"/>
  <c r="Z30" i="1"/>
  <c r="Y29" i="1"/>
  <c r="Z29" i="1"/>
  <c r="Y28" i="1"/>
  <c r="Z28" i="1"/>
  <c r="Y27" i="1"/>
  <c r="Z27" i="1"/>
  <c r="Y25" i="1"/>
  <c r="Z25" i="1"/>
  <c r="Y24" i="1"/>
  <c r="Z24" i="1"/>
  <c r="Y23" i="1"/>
  <c r="Z23" i="1"/>
  <c r="Z22" i="1"/>
  <c r="Y21" i="1"/>
  <c r="Z21" i="1"/>
  <c r="Y20" i="1"/>
  <c r="Z20" i="1"/>
  <c r="Y19" i="1"/>
  <c r="Z19" i="1"/>
  <c r="Y17" i="1"/>
  <c r="Z17" i="1"/>
  <c r="Y16" i="1"/>
  <c r="Z16" i="1"/>
  <c r="Y15" i="1"/>
  <c r="Z15" i="1"/>
  <c r="Z14" i="1"/>
  <c r="Y13" i="1"/>
  <c r="Z13" i="1"/>
  <c r="Y12" i="1"/>
  <c r="Z12" i="1"/>
  <c r="Y11" i="1"/>
  <c r="Z11" i="1"/>
  <c r="Y9" i="1"/>
  <c r="Z9" i="1"/>
  <c r="Y8" i="1"/>
  <c r="Z8" i="1"/>
  <c r="Y7" i="1"/>
  <c r="Z7" i="1"/>
  <c r="Y6" i="1"/>
  <c r="Z6" i="1"/>
  <c r="Y5" i="1"/>
  <c r="Z5" i="1"/>
  <c r="Y4" i="1"/>
  <c r="Z4" i="1"/>
  <c r="Y3" i="1"/>
  <c r="Z3" i="1"/>
  <c r="Y2" i="1"/>
  <c r="L3" i="1"/>
  <c r="M3" i="1"/>
  <c r="N3" i="1"/>
  <c r="O3" i="1"/>
  <c r="P3" i="1" s="1"/>
  <c r="Q3" i="1"/>
  <c r="L4" i="1"/>
  <c r="M4" i="1"/>
  <c r="N4" i="1"/>
  <c r="P4" i="1" s="1"/>
  <c r="O4" i="1"/>
  <c r="Q4" i="1"/>
  <c r="L5" i="1"/>
  <c r="M5" i="1"/>
  <c r="N5" i="1"/>
  <c r="O5" i="1"/>
  <c r="P5" i="1" s="1"/>
  <c r="Q5" i="1"/>
  <c r="L6" i="1"/>
  <c r="M6" i="1"/>
  <c r="N6" i="1"/>
  <c r="P6" i="1" s="1"/>
  <c r="O6" i="1"/>
  <c r="Q6" i="1"/>
  <c r="L7" i="1"/>
  <c r="M7" i="1"/>
  <c r="N7" i="1"/>
  <c r="O7" i="1"/>
  <c r="P7" i="1" s="1"/>
  <c r="Q7" i="1"/>
  <c r="L8" i="1"/>
  <c r="M8" i="1"/>
  <c r="N8" i="1"/>
  <c r="P8" i="1" s="1"/>
  <c r="O8" i="1"/>
  <c r="Q8" i="1"/>
  <c r="L9" i="1"/>
  <c r="M9" i="1"/>
  <c r="N9" i="1"/>
  <c r="O9" i="1"/>
  <c r="P9" i="1" s="1"/>
  <c r="Q9" i="1"/>
  <c r="L10" i="1"/>
  <c r="M10" i="1"/>
  <c r="N10" i="1"/>
  <c r="P10" i="1" s="1"/>
  <c r="O10" i="1"/>
  <c r="Q10" i="1"/>
  <c r="L11" i="1"/>
  <c r="M11" i="1"/>
  <c r="N11" i="1"/>
  <c r="O11" i="1"/>
  <c r="P11" i="1" s="1"/>
  <c r="Q11" i="1"/>
  <c r="L12" i="1"/>
  <c r="M12" i="1"/>
  <c r="N12" i="1"/>
  <c r="P12" i="1" s="1"/>
  <c r="O12" i="1"/>
  <c r="Q12" i="1"/>
  <c r="L13" i="1"/>
  <c r="M13" i="1"/>
  <c r="N13" i="1"/>
  <c r="O13" i="1"/>
  <c r="P13" i="1" s="1"/>
  <c r="Q13" i="1"/>
  <c r="L14" i="1"/>
  <c r="M14" i="1"/>
  <c r="N14" i="1"/>
  <c r="P14" i="1" s="1"/>
  <c r="O14" i="1"/>
  <c r="Q14" i="1"/>
  <c r="L15" i="1"/>
  <c r="M15" i="1"/>
  <c r="N15" i="1"/>
  <c r="O15" i="1"/>
  <c r="P15" i="1" s="1"/>
  <c r="Q15" i="1"/>
  <c r="L16" i="1"/>
  <c r="M16" i="1"/>
  <c r="N16" i="1"/>
  <c r="P16" i="1" s="1"/>
  <c r="O16" i="1"/>
  <c r="Q16" i="1"/>
  <c r="L17" i="1"/>
  <c r="M17" i="1"/>
  <c r="N17" i="1"/>
  <c r="O17" i="1"/>
  <c r="P17" i="1" s="1"/>
  <c r="Q17" i="1"/>
  <c r="L18" i="1"/>
  <c r="M18" i="1"/>
  <c r="N18" i="1"/>
  <c r="P18" i="1" s="1"/>
  <c r="O18" i="1"/>
  <c r="Q18" i="1"/>
  <c r="L19" i="1"/>
  <c r="M19" i="1"/>
  <c r="N19" i="1"/>
  <c r="O19" i="1"/>
  <c r="P19" i="1" s="1"/>
  <c r="Q19" i="1"/>
  <c r="L20" i="1"/>
  <c r="M20" i="1"/>
  <c r="N20" i="1"/>
  <c r="P20" i="1" s="1"/>
  <c r="O20" i="1"/>
  <c r="Q20" i="1"/>
  <c r="L21" i="1"/>
  <c r="M21" i="1"/>
  <c r="N21" i="1"/>
  <c r="O21" i="1"/>
  <c r="P21" i="1" s="1"/>
  <c r="Q21" i="1"/>
  <c r="L22" i="1"/>
  <c r="M22" i="1"/>
  <c r="N22" i="1"/>
  <c r="P22" i="1" s="1"/>
  <c r="O22" i="1"/>
  <c r="Q22" i="1"/>
  <c r="L23" i="1"/>
  <c r="M23" i="1"/>
  <c r="N23" i="1"/>
  <c r="O23" i="1"/>
  <c r="P23" i="1" s="1"/>
  <c r="Q23" i="1"/>
  <c r="L24" i="1"/>
  <c r="M24" i="1"/>
  <c r="N24" i="1"/>
  <c r="P24" i="1" s="1"/>
  <c r="O24" i="1"/>
  <c r="Q24" i="1"/>
  <c r="L25" i="1"/>
  <c r="M25" i="1"/>
  <c r="N25" i="1"/>
  <c r="O25" i="1"/>
  <c r="P25" i="1" s="1"/>
  <c r="Q25" i="1"/>
  <c r="L26" i="1"/>
  <c r="M26" i="1"/>
  <c r="N26" i="1"/>
  <c r="P26" i="1" s="1"/>
  <c r="O26" i="1"/>
  <c r="Q26" i="1"/>
  <c r="L27" i="1"/>
  <c r="M27" i="1"/>
  <c r="N27" i="1"/>
  <c r="O27" i="1"/>
  <c r="P27" i="1" s="1"/>
  <c r="Q27" i="1"/>
  <c r="L28" i="1"/>
  <c r="M28" i="1"/>
  <c r="N28" i="1"/>
  <c r="P28" i="1" s="1"/>
  <c r="O28" i="1"/>
  <c r="Q28" i="1"/>
  <c r="L29" i="1"/>
  <c r="M29" i="1"/>
  <c r="N29" i="1"/>
  <c r="O29" i="1"/>
  <c r="P29" i="1" s="1"/>
  <c r="Q29" i="1"/>
  <c r="L30" i="1"/>
  <c r="M30" i="1"/>
  <c r="N30" i="1"/>
  <c r="P30" i="1" s="1"/>
  <c r="O30" i="1"/>
  <c r="Q30" i="1"/>
  <c r="L31" i="1"/>
  <c r="M31" i="1"/>
  <c r="N31" i="1"/>
  <c r="O31" i="1"/>
  <c r="P31" i="1" s="1"/>
  <c r="Q31" i="1"/>
  <c r="L32" i="1"/>
  <c r="M32" i="1"/>
  <c r="N32" i="1"/>
  <c r="P32" i="1" s="1"/>
  <c r="O32" i="1"/>
  <c r="Q32" i="1"/>
  <c r="L33" i="1"/>
  <c r="M33" i="1"/>
  <c r="N33" i="1"/>
  <c r="O33" i="1"/>
  <c r="P33" i="1" s="1"/>
  <c r="Q33" i="1"/>
  <c r="L34" i="1"/>
  <c r="M34" i="1"/>
  <c r="N34" i="1"/>
  <c r="P34" i="1" s="1"/>
  <c r="O34" i="1"/>
  <c r="Q34" i="1"/>
  <c r="L35" i="1"/>
  <c r="M35" i="1"/>
  <c r="N35" i="1"/>
  <c r="O35" i="1"/>
  <c r="P35" i="1" s="1"/>
  <c r="Q35" i="1"/>
  <c r="L36" i="1"/>
  <c r="M36" i="1"/>
  <c r="N36" i="1"/>
  <c r="P36" i="1" s="1"/>
  <c r="O36" i="1"/>
  <c r="Q36" i="1"/>
  <c r="L37" i="1"/>
  <c r="M37" i="1"/>
  <c r="N37" i="1"/>
  <c r="O37" i="1"/>
  <c r="P37" i="1" s="1"/>
  <c r="Q37" i="1"/>
  <c r="L38" i="1"/>
  <c r="M38" i="1"/>
  <c r="N38" i="1"/>
  <c r="P38" i="1" s="1"/>
  <c r="O38" i="1"/>
  <c r="Q38" i="1"/>
  <c r="L39" i="1"/>
  <c r="M39" i="1"/>
  <c r="N39" i="1"/>
  <c r="O39" i="1"/>
  <c r="P39" i="1" s="1"/>
  <c r="Q39" i="1"/>
  <c r="L40" i="1"/>
  <c r="M40" i="1"/>
  <c r="N40" i="1"/>
  <c r="P40" i="1" s="1"/>
  <c r="O40" i="1"/>
  <c r="Q40" i="1"/>
  <c r="L41" i="1"/>
  <c r="M41" i="1"/>
  <c r="N41" i="1"/>
  <c r="O41" i="1"/>
  <c r="P41" i="1" s="1"/>
  <c r="Q41" i="1"/>
  <c r="L42" i="1"/>
  <c r="M42" i="1"/>
  <c r="N42" i="1"/>
  <c r="P42" i="1" s="1"/>
  <c r="O42" i="1"/>
  <c r="Q42" i="1"/>
  <c r="L43" i="1"/>
  <c r="M43" i="1"/>
  <c r="N43" i="1"/>
  <c r="O43" i="1"/>
  <c r="P43" i="1" s="1"/>
  <c r="Q43" i="1"/>
  <c r="L44" i="1"/>
  <c r="M44" i="1"/>
  <c r="N44" i="1"/>
  <c r="P44" i="1" s="1"/>
  <c r="O44" i="1"/>
  <c r="Q44" i="1"/>
  <c r="L45" i="1"/>
  <c r="M45" i="1"/>
  <c r="N45" i="1"/>
  <c r="O45" i="1"/>
  <c r="P45" i="1" s="1"/>
  <c r="Q45" i="1"/>
  <c r="L46" i="1"/>
  <c r="M46" i="1"/>
  <c r="N46" i="1"/>
  <c r="P46" i="1" s="1"/>
  <c r="O46" i="1"/>
  <c r="Q46" i="1"/>
  <c r="L47" i="1"/>
  <c r="M47" i="1"/>
  <c r="N47" i="1"/>
  <c r="O47" i="1"/>
  <c r="P47" i="1" s="1"/>
  <c r="Q47" i="1"/>
  <c r="L48" i="1"/>
  <c r="M48" i="1"/>
  <c r="N48" i="1"/>
  <c r="P48" i="1" s="1"/>
  <c r="O48" i="1"/>
  <c r="Q48" i="1"/>
  <c r="L49" i="1"/>
  <c r="M49" i="1"/>
  <c r="N49" i="1"/>
  <c r="O49" i="1"/>
  <c r="P49" i="1" s="1"/>
  <c r="Q49" i="1"/>
  <c r="L50" i="1"/>
  <c r="M50" i="1"/>
  <c r="N50" i="1"/>
  <c r="P50" i="1" s="1"/>
  <c r="O50" i="1"/>
  <c r="Q50" i="1"/>
  <c r="L51" i="1"/>
  <c r="M51" i="1"/>
  <c r="N51" i="1"/>
  <c r="O51" i="1"/>
  <c r="P51" i="1" s="1"/>
  <c r="Q51" i="1"/>
  <c r="L52" i="1"/>
  <c r="M52" i="1"/>
  <c r="N52" i="1"/>
  <c r="P52" i="1" s="1"/>
  <c r="O52" i="1"/>
  <c r="Q52" i="1"/>
  <c r="L53" i="1"/>
  <c r="M53" i="1"/>
  <c r="N53" i="1"/>
  <c r="O53" i="1"/>
  <c r="P53" i="1" s="1"/>
  <c r="Q53" i="1"/>
  <c r="L54" i="1"/>
  <c r="M54" i="1"/>
  <c r="N54" i="1"/>
  <c r="P54" i="1" s="1"/>
  <c r="O54" i="1"/>
  <c r="Q54" i="1"/>
  <c r="L55" i="1"/>
  <c r="M55" i="1"/>
  <c r="N55" i="1"/>
  <c r="O55" i="1"/>
  <c r="P55" i="1" s="1"/>
  <c r="Q55" i="1"/>
  <c r="L56" i="1"/>
  <c r="M56" i="1"/>
  <c r="N56" i="1"/>
  <c r="P56" i="1" s="1"/>
  <c r="O56" i="1"/>
  <c r="Q56" i="1"/>
  <c r="L57" i="1"/>
  <c r="M57" i="1"/>
  <c r="N57" i="1"/>
  <c r="O57" i="1"/>
  <c r="P57" i="1" s="1"/>
  <c r="Q57" i="1"/>
  <c r="L58" i="1"/>
  <c r="M58" i="1"/>
  <c r="N58" i="1"/>
  <c r="P58" i="1" s="1"/>
  <c r="O58" i="1"/>
  <c r="Q58" i="1"/>
  <c r="L59" i="1"/>
  <c r="M59" i="1"/>
  <c r="N59" i="1"/>
  <c r="O59" i="1"/>
  <c r="P59" i="1" s="1"/>
  <c r="Q59" i="1"/>
  <c r="L60" i="1"/>
  <c r="M60" i="1"/>
  <c r="N60" i="1"/>
  <c r="P60" i="1" s="1"/>
  <c r="O60" i="1"/>
  <c r="Q60" i="1"/>
  <c r="L61" i="1"/>
  <c r="M61" i="1"/>
  <c r="N61" i="1"/>
  <c r="O61" i="1"/>
  <c r="P61" i="1" s="1"/>
  <c r="Q61" i="1"/>
  <c r="L62" i="1"/>
  <c r="M62" i="1"/>
  <c r="N62" i="1"/>
  <c r="P62" i="1" s="1"/>
  <c r="O62" i="1"/>
  <c r="Q62" i="1"/>
  <c r="L63" i="1"/>
  <c r="M63" i="1"/>
  <c r="N63" i="1"/>
  <c r="O63" i="1"/>
  <c r="P63" i="1" s="1"/>
  <c r="Q63" i="1"/>
  <c r="L64" i="1"/>
  <c r="M64" i="1"/>
  <c r="N64" i="1"/>
  <c r="P64" i="1" s="1"/>
  <c r="O64" i="1"/>
  <c r="Q64" i="1"/>
  <c r="L65" i="1"/>
  <c r="M65" i="1"/>
  <c r="N65" i="1"/>
  <c r="O65" i="1"/>
  <c r="P65" i="1" s="1"/>
  <c r="Q65" i="1"/>
  <c r="L66" i="1"/>
  <c r="M66" i="1"/>
  <c r="N66" i="1"/>
  <c r="P66" i="1" s="1"/>
  <c r="O66" i="1"/>
  <c r="Q66" i="1"/>
  <c r="L67" i="1"/>
  <c r="M67" i="1"/>
  <c r="N67" i="1"/>
  <c r="O67" i="1"/>
  <c r="P67" i="1" s="1"/>
  <c r="Q67" i="1"/>
  <c r="L68" i="1"/>
  <c r="M68" i="1"/>
  <c r="N68" i="1"/>
  <c r="P68" i="1" s="1"/>
  <c r="O68" i="1"/>
  <c r="Q68" i="1"/>
  <c r="L69" i="1"/>
  <c r="M69" i="1"/>
  <c r="N69" i="1"/>
  <c r="O69" i="1"/>
  <c r="P69" i="1" s="1"/>
  <c r="Q69" i="1"/>
  <c r="L70" i="1"/>
  <c r="M70" i="1"/>
  <c r="N70" i="1"/>
  <c r="P70" i="1" s="1"/>
  <c r="O70" i="1"/>
  <c r="Q70" i="1"/>
  <c r="L71" i="1"/>
  <c r="M71" i="1"/>
  <c r="N71" i="1"/>
  <c r="O71" i="1"/>
  <c r="P71" i="1" s="1"/>
  <c r="Q71" i="1"/>
  <c r="L72" i="1"/>
  <c r="M72" i="1"/>
  <c r="N72" i="1"/>
  <c r="P72" i="1" s="1"/>
  <c r="O72" i="1"/>
  <c r="Q72" i="1"/>
  <c r="L73" i="1"/>
  <c r="M73" i="1"/>
  <c r="N73" i="1"/>
  <c r="O73" i="1"/>
  <c r="P73" i="1" s="1"/>
  <c r="Q73" i="1"/>
  <c r="L74" i="1"/>
  <c r="M74" i="1"/>
  <c r="N74" i="1"/>
  <c r="P74" i="1" s="1"/>
  <c r="O74" i="1"/>
  <c r="Q74" i="1"/>
  <c r="L75" i="1"/>
  <c r="M75" i="1"/>
  <c r="N75" i="1"/>
  <c r="O75" i="1"/>
  <c r="P75" i="1" s="1"/>
  <c r="Q75" i="1"/>
  <c r="L76" i="1"/>
  <c r="M76" i="1"/>
  <c r="N76" i="1"/>
  <c r="P76" i="1" s="1"/>
  <c r="O76" i="1"/>
  <c r="Q76" i="1"/>
  <c r="L77" i="1"/>
  <c r="M77" i="1"/>
  <c r="Q77" i="1" s="1"/>
  <c r="N77" i="1"/>
  <c r="O77" i="1"/>
  <c r="P77" i="1" s="1"/>
  <c r="L78" i="1"/>
  <c r="M78" i="1"/>
  <c r="N78" i="1"/>
  <c r="P78" i="1" s="1"/>
  <c r="O78" i="1"/>
  <c r="Q78" i="1"/>
  <c r="L79" i="1"/>
  <c r="M79" i="1"/>
  <c r="Q79" i="1" s="1"/>
  <c r="N79" i="1"/>
  <c r="O79" i="1"/>
  <c r="P79" i="1" s="1"/>
  <c r="L80" i="1"/>
  <c r="M80" i="1"/>
  <c r="N80" i="1"/>
  <c r="P80" i="1" s="1"/>
  <c r="O80" i="1"/>
  <c r="Q80" i="1"/>
  <c r="L81" i="1"/>
  <c r="M81" i="1"/>
  <c r="Q81" i="1" s="1"/>
  <c r="N81" i="1"/>
  <c r="O81" i="1"/>
  <c r="P81" i="1" s="1"/>
  <c r="L82" i="1"/>
  <c r="M82" i="1"/>
  <c r="N82" i="1"/>
  <c r="P82" i="1" s="1"/>
  <c r="O82" i="1"/>
  <c r="Q82" i="1"/>
  <c r="L83" i="1"/>
  <c r="M83" i="1"/>
  <c r="Q83" i="1" s="1"/>
  <c r="N83" i="1"/>
  <c r="O83" i="1"/>
  <c r="P83" i="1" s="1"/>
  <c r="L84" i="1"/>
  <c r="M84" i="1"/>
  <c r="N84" i="1"/>
  <c r="P84" i="1" s="1"/>
  <c r="O84" i="1"/>
  <c r="Q84" i="1"/>
  <c r="L85" i="1"/>
  <c r="M85" i="1"/>
  <c r="Q85" i="1" s="1"/>
  <c r="N85" i="1"/>
  <c r="O85" i="1"/>
  <c r="P85" i="1" s="1"/>
  <c r="L86" i="1"/>
  <c r="M86" i="1"/>
  <c r="N86" i="1"/>
  <c r="P86" i="1" s="1"/>
  <c r="O86" i="1"/>
  <c r="Q86" i="1"/>
  <c r="L87" i="1"/>
  <c r="M87" i="1"/>
  <c r="Q87" i="1" s="1"/>
  <c r="N87" i="1"/>
  <c r="O87" i="1"/>
  <c r="P87" i="1" s="1"/>
  <c r="L88" i="1"/>
  <c r="M88" i="1"/>
  <c r="N88" i="1"/>
  <c r="P88" i="1" s="1"/>
  <c r="O88" i="1"/>
  <c r="Q88" i="1"/>
  <c r="L89" i="1"/>
  <c r="M89" i="1"/>
  <c r="Q89" i="1" s="1"/>
  <c r="N89" i="1"/>
  <c r="O89" i="1"/>
  <c r="P89" i="1" s="1"/>
  <c r="L90" i="1"/>
  <c r="M90" i="1"/>
  <c r="N90" i="1"/>
  <c r="P90" i="1" s="1"/>
  <c r="O90" i="1"/>
  <c r="Q90" i="1"/>
  <c r="L91" i="1"/>
  <c r="M91" i="1"/>
  <c r="Q91" i="1" s="1"/>
  <c r="N91" i="1"/>
  <c r="O91" i="1"/>
  <c r="P91" i="1" s="1"/>
  <c r="L92" i="1"/>
  <c r="M92" i="1"/>
  <c r="N92" i="1"/>
  <c r="P92" i="1" s="1"/>
  <c r="O92" i="1"/>
  <c r="Q92" i="1"/>
  <c r="L93" i="1"/>
  <c r="M93" i="1"/>
  <c r="Q93" i="1" s="1"/>
  <c r="N93" i="1"/>
  <c r="O93" i="1"/>
  <c r="P93" i="1" s="1"/>
  <c r="L94" i="1"/>
  <c r="M94" i="1"/>
  <c r="N94" i="1"/>
  <c r="P94" i="1" s="1"/>
  <c r="O94" i="1"/>
  <c r="Q94" i="1"/>
  <c r="L95" i="1"/>
  <c r="M95" i="1"/>
  <c r="Q95" i="1" s="1"/>
  <c r="N95" i="1"/>
  <c r="O95" i="1"/>
  <c r="P95" i="1" s="1"/>
  <c r="L96" i="1"/>
  <c r="M96" i="1"/>
  <c r="N96" i="1"/>
  <c r="P96" i="1" s="1"/>
  <c r="O96" i="1"/>
  <c r="Q96" i="1"/>
  <c r="L97" i="1"/>
  <c r="M97" i="1"/>
  <c r="Q97" i="1" s="1"/>
  <c r="N97" i="1"/>
  <c r="O97" i="1"/>
  <c r="P97" i="1" s="1"/>
  <c r="L98" i="1"/>
  <c r="M98" i="1"/>
  <c r="N98" i="1"/>
  <c r="P98" i="1" s="1"/>
  <c r="O98" i="1"/>
  <c r="Q98" i="1"/>
  <c r="L99" i="1"/>
  <c r="M99" i="1"/>
  <c r="Q99" i="1" s="1"/>
  <c r="N99" i="1"/>
  <c r="O99" i="1"/>
  <c r="P99" i="1" s="1"/>
  <c r="L100" i="1"/>
  <c r="M100" i="1"/>
  <c r="N100" i="1"/>
  <c r="P100" i="1" s="1"/>
  <c r="O100" i="1"/>
  <c r="Q100" i="1"/>
  <c r="L101" i="1"/>
  <c r="M101" i="1"/>
  <c r="Q101" i="1" s="1"/>
  <c r="N101" i="1"/>
  <c r="O101" i="1"/>
  <c r="P101" i="1" s="1"/>
  <c r="L102" i="1"/>
  <c r="M102" i="1"/>
  <c r="N102" i="1"/>
  <c r="P102" i="1" s="1"/>
  <c r="O102" i="1"/>
  <c r="Q102" i="1"/>
  <c r="L103" i="1"/>
  <c r="M103" i="1"/>
  <c r="Q103" i="1" s="1"/>
  <c r="N103" i="1"/>
  <c r="O103" i="1"/>
  <c r="P103" i="1" s="1"/>
  <c r="L104" i="1"/>
  <c r="M104" i="1"/>
  <c r="N104" i="1"/>
  <c r="P104" i="1" s="1"/>
  <c r="O104" i="1"/>
  <c r="Q104" i="1"/>
  <c r="L105" i="1"/>
  <c r="M105" i="1"/>
  <c r="Q105" i="1" s="1"/>
  <c r="N105" i="1"/>
  <c r="O105" i="1"/>
  <c r="P105" i="1" s="1"/>
  <c r="L106" i="1"/>
  <c r="M106" i="1"/>
  <c r="N106" i="1"/>
  <c r="P106" i="1" s="1"/>
  <c r="O106" i="1"/>
  <c r="Q106" i="1"/>
  <c r="L107" i="1"/>
  <c r="M107" i="1"/>
  <c r="Q107" i="1" s="1"/>
  <c r="N107" i="1"/>
  <c r="O107" i="1"/>
  <c r="P107" i="1" s="1"/>
  <c r="L108" i="1"/>
  <c r="M108" i="1"/>
  <c r="N108" i="1"/>
  <c r="P108" i="1" s="1"/>
  <c r="O108" i="1"/>
  <c r="Q108" i="1"/>
  <c r="L109" i="1"/>
  <c r="M109" i="1"/>
  <c r="Q109" i="1" s="1"/>
  <c r="N109" i="1"/>
  <c r="O109" i="1"/>
  <c r="P109" i="1" s="1"/>
  <c r="L110" i="1"/>
  <c r="M110" i="1"/>
  <c r="N110" i="1"/>
  <c r="P110" i="1" s="1"/>
  <c r="O110" i="1"/>
  <c r="Q110" i="1"/>
  <c r="L111" i="1"/>
  <c r="M111" i="1"/>
  <c r="Q111" i="1" s="1"/>
  <c r="N111" i="1"/>
  <c r="O111" i="1"/>
  <c r="P111" i="1" s="1"/>
  <c r="L112" i="1"/>
  <c r="M112" i="1"/>
  <c r="N112" i="1"/>
  <c r="P112" i="1" s="1"/>
  <c r="O112" i="1"/>
  <c r="Q112" i="1"/>
  <c r="L113" i="1"/>
  <c r="M113" i="1"/>
  <c r="Q113" i="1" s="1"/>
  <c r="N113" i="1"/>
  <c r="O113" i="1"/>
  <c r="P113" i="1" s="1"/>
  <c r="L114" i="1"/>
  <c r="M114" i="1"/>
  <c r="N114" i="1"/>
  <c r="P114" i="1" s="1"/>
  <c r="O114" i="1"/>
  <c r="Q114" i="1"/>
  <c r="L115" i="1"/>
  <c r="M115" i="1"/>
  <c r="Q115" i="1" s="1"/>
  <c r="N115" i="1"/>
  <c r="O115" i="1"/>
  <c r="P115" i="1" s="1"/>
  <c r="L116" i="1"/>
  <c r="M116" i="1"/>
  <c r="N116" i="1"/>
  <c r="P116" i="1" s="1"/>
  <c r="O116" i="1"/>
  <c r="Q116" i="1"/>
  <c r="L117" i="1"/>
  <c r="M117" i="1"/>
  <c r="Q117" i="1" s="1"/>
  <c r="N117" i="1"/>
  <c r="O117" i="1"/>
  <c r="P117" i="1" s="1"/>
  <c r="L118" i="1"/>
  <c r="M118" i="1"/>
  <c r="N118" i="1"/>
  <c r="P118" i="1" s="1"/>
  <c r="O118" i="1"/>
  <c r="Q118" i="1"/>
  <c r="L119" i="1"/>
  <c r="M119" i="1"/>
  <c r="Q119" i="1" s="1"/>
  <c r="N119" i="1"/>
  <c r="O119" i="1"/>
  <c r="P119" i="1" s="1"/>
  <c r="L120" i="1"/>
  <c r="M120" i="1"/>
  <c r="N120" i="1"/>
  <c r="P120" i="1" s="1"/>
  <c r="O120" i="1"/>
  <c r="Q120" i="1"/>
  <c r="L121" i="1"/>
  <c r="M121" i="1"/>
  <c r="Q121" i="1" s="1"/>
  <c r="N121" i="1"/>
  <c r="O121" i="1"/>
  <c r="P121" i="1" s="1"/>
  <c r="L122" i="1"/>
  <c r="M122" i="1"/>
  <c r="N122" i="1"/>
  <c r="P122" i="1" s="1"/>
  <c r="O122" i="1"/>
  <c r="Q122" i="1"/>
  <c r="L123" i="1"/>
  <c r="M123" i="1"/>
  <c r="Q123" i="1" s="1"/>
  <c r="N123" i="1"/>
  <c r="O123" i="1"/>
  <c r="P123" i="1" s="1"/>
  <c r="L124" i="1"/>
  <c r="M124" i="1"/>
  <c r="N124" i="1"/>
  <c r="P124" i="1" s="1"/>
  <c r="O124" i="1"/>
  <c r="Q124" i="1"/>
  <c r="L125" i="1"/>
  <c r="M125" i="1"/>
  <c r="Q125" i="1" s="1"/>
  <c r="N125" i="1"/>
  <c r="O125" i="1"/>
  <c r="P125" i="1" s="1"/>
  <c r="L126" i="1"/>
  <c r="M126" i="1"/>
  <c r="N126" i="1"/>
  <c r="P126" i="1" s="1"/>
  <c r="O126" i="1"/>
  <c r="Q126" i="1"/>
  <c r="L127" i="1"/>
  <c r="M127" i="1"/>
  <c r="Q127" i="1" s="1"/>
  <c r="N127" i="1"/>
  <c r="O127" i="1"/>
  <c r="P127" i="1" s="1"/>
  <c r="L128" i="1"/>
  <c r="M128" i="1"/>
  <c r="N128" i="1"/>
  <c r="P128" i="1" s="1"/>
  <c r="O128" i="1"/>
  <c r="Q128" i="1"/>
  <c r="L129" i="1"/>
  <c r="M129" i="1"/>
  <c r="Q129" i="1" s="1"/>
  <c r="N129" i="1"/>
  <c r="O129" i="1"/>
  <c r="P129" i="1" s="1"/>
  <c r="L130" i="1"/>
  <c r="M130" i="1"/>
  <c r="N130" i="1"/>
  <c r="P130" i="1" s="1"/>
  <c r="O130" i="1"/>
  <c r="Q130" i="1"/>
  <c r="L131" i="1"/>
  <c r="M131" i="1"/>
  <c r="Q131" i="1" s="1"/>
  <c r="N131" i="1"/>
  <c r="O131" i="1"/>
  <c r="P131" i="1" s="1"/>
  <c r="L132" i="1"/>
  <c r="M132" i="1"/>
  <c r="N132" i="1"/>
  <c r="P132" i="1" s="1"/>
  <c r="O132" i="1"/>
  <c r="Q132" i="1"/>
  <c r="L133" i="1"/>
  <c r="M133" i="1"/>
  <c r="Q133" i="1" s="1"/>
  <c r="N133" i="1"/>
  <c r="O133" i="1"/>
  <c r="P133" i="1" s="1"/>
  <c r="L134" i="1"/>
  <c r="M134" i="1"/>
  <c r="N134" i="1"/>
  <c r="P134" i="1" s="1"/>
  <c r="O134" i="1"/>
  <c r="Q134" i="1"/>
  <c r="L135" i="1"/>
  <c r="M135" i="1"/>
  <c r="Q135" i="1" s="1"/>
  <c r="N135" i="1"/>
  <c r="O135" i="1"/>
  <c r="P135" i="1" s="1"/>
  <c r="L136" i="1"/>
  <c r="M136" i="1"/>
  <c r="N136" i="1"/>
  <c r="P136" i="1" s="1"/>
  <c r="O136" i="1"/>
  <c r="Q136" i="1"/>
  <c r="L137" i="1"/>
  <c r="M137" i="1"/>
  <c r="Q137" i="1" s="1"/>
  <c r="N137" i="1"/>
  <c r="O137" i="1"/>
  <c r="P137" i="1" s="1"/>
  <c r="L138" i="1"/>
  <c r="M138" i="1"/>
  <c r="N138" i="1"/>
  <c r="P138" i="1" s="1"/>
  <c r="O138" i="1"/>
  <c r="Q138" i="1"/>
  <c r="L139" i="1"/>
  <c r="M139" i="1"/>
  <c r="Q139" i="1" s="1"/>
  <c r="N139" i="1"/>
  <c r="O139" i="1"/>
  <c r="P139" i="1" s="1"/>
  <c r="L140" i="1"/>
  <c r="M140" i="1"/>
  <c r="N140" i="1"/>
  <c r="P140" i="1" s="1"/>
  <c r="O140" i="1"/>
  <c r="Q140" i="1"/>
  <c r="L141" i="1"/>
  <c r="M141" i="1"/>
  <c r="Q141" i="1" s="1"/>
  <c r="N141" i="1"/>
  <c r="O141" i="1"/>
  <c r="P141" i="1" s="1"/>
  <c r="L142" i="1"/>
  <c r="M142" i="1"/>
  <c r="N142" i="1"/>
  <c r="P142" i="1" s="1"/>
  <c r="O142" i="1"/>
  <c r="Q142" i="1"/>
  <c r="L143" i="1"/>
  <c r="M143" i="1"/>
  <c r="Q143" i="1" s="1"/>
  <c r="N143" i="1"/>
  <c r="O143" i="1"/>
  <c r="P143" i="1" s="1"/>
  <c r="L144" i="1"/>
  <c r="M144" i="1"/>
  <c r="N144" i="1"/>
  <c r="P144" i="1" s="1"/>
  <c r="O144" i="1"/>
  <c r="Q144" i="1"/>
  <c r="L145" i="1"/>
  <c r="M145" i="1"/>
  <c r="Q145" i="1" s="1"/>
  <c r="N145" i="1"/>
  <c r="O145" i="1"/>
  <c r="P145" i="1" s="1"/>
  <c r="L146" i="1"/>
  <c r="M146" i="1"/>
  <c r="N146" i="1"/>
  <c r="P146" i="1" s="1"/>
  <c r="O146" i="1"/>
  <c r="Q146" i="1"/>
  <c r="L147" i="1"/>
  <c r="M147" i="1"/>
  <c r="Q147" i="1" s="1"/>
  <c r="N147" i="1"/>
  <c r="O147" i="1"/>
  <c r="P147" i="1" s="1"/>
  <c r="L148" i="1"/>
  <c r="M148" i="1"/>
  <c r="N148" i="1"/>
  <c r="P148" i="1" s="1"/>
  <c r="O148" i="1"/>
  <c r="Q148" i="1"/>
  <c r="L149" i="1"/>
  <c r="M149" i="1"/>
  <c r="Q149" i="1" s="1"/>
  <c r="N149" i="1"/>
  <c r="O149" i="1"/>
  <c r="P149" i="1" s="1"/>
  <c r="L150" i="1"/>
  <c r="M150" i="1"/>
  <c r="N150" i="1"/>
  <c r="P150" i="1" s="1"/>
  <c r="O150" i="1"/>
  <c r="Q150" i="1"/>
  <c r="L151" i="1"/>
  <c r="M151" i="1"/>
  <c r="Q151" i="1" s="1"/>
  <c r="N151" i="1"/>
  <c r="O151" i="1"/>
  <c r="P151" i="1" s="1"/>
  <c r="L152" i="1"/>
  <c r="M152" i="1"/>
  <c r="N152" i="1"/>
  <c r="P152" i="1" s="1"/>
  <c r="O152" i="1"/>
  <c r="Q152" i="1"/>
  <c r="L153" i="1"/>
  <c r="M153" i="1"/>
  <c r="Q153" i="1" s="1"/>
  <c r="N153" i="1"/>
  <c r="O153" i="1"/>
  <c r="P153" i="1" s="1"/>
  <c r="L154" i="1"/>
  <c r="M154" i="1"/>
  <c r="N154" i="1"/>
  <c r="P154" i="1" s="1"/>
  <c r="O154" i="1"/>
  <c r="Q154" i="1"/>
  <c r="L155" i="1"/>
  <c r="M155" i="1"/>
  <c r="Q155" i="1" s="1"/>
  <c r="N155" i="1"/>
  <c r="O155" i="1"/>
  <c r="P155" i="1" s="1"/>
  <c r="L156" i="1"/>
  <c r="M156" i="1"/>
  <c r="N156" i="1"/>
  <c r="P156" i="1" s="1"/>
  <c r="O156" i="1"/>
  <c r="Q156" i="1"/>
  <c r="L157" i="1"/>
  <c r="M157" i="1"/>
  <c r="Q157" i="1" s="1"/>
  <c r="N157" i="1"/>
  <c r="O157" i="1"/>
  <c r="P157" i="1" s="1"/>
  <c r="L158" i="1"/>
  <c r="M158" i="1"/>
  <c r="N158" i="1"/>
  <c r="P158" i="1" s="1"/>
  <c r="O158" i="1"/>
  <c r="Q158" i="1"/>
  <c r="L159" i="1"/>
  <c r="M159" i="1"/>
  <c r="Q159" i="1" s="1"/>
  <c r="N159" i="1"/>
  <c r="O159" i="1"/>
  <c r="P159" i="1" s="1"/>
  <c r="L160" i="1"/>
  <c r="M160" i="1"/>
  <c r="N160" i="1"/>
  <c r="P160" i="1" s="1"/>
  <c r="O160" i="1"/>
  <c r="Q160" i="1"/>
  <c r="L161" i="1"/>
  <c r="M161" i="1"/>
  <c r="Q161" i="1" s="1"/>
  <c r="N161" i="1"/>
  <c r="O161" i="1"/>
  <c r="P161" i="1" s="1"/>
  <c r="L162" i="1"/>
  <c r="M162" i="1"/>
  <c r="N162" i="1"/>
  <c r="P162" i="1" s="1"/>
  <c r="O162" i="1"/>
  <c r="Q162" i="1"/>
  <c r="L163" i="1"/>
  <c r="M163" i="1"/>
  <c r="Q163" i="1" s="1"/>
  <c r="N163" i="1"/>
  <c r="O163" i="1"/>
  <c r="P163" i="1" s="1"/>
  <c r="L164" i="1"/>
  <c r="M164" i="1"/>
  <c r="N164" i="1"/>
  <c r="P164" i="1" s="1"/>
  <c r="O164" i="1"/>
  <c r="Q164" i="1"/>
  <c r="L165" i="1"/>
  <c r="M165" i="1"/>
  <c r="Q165" i="1" s="1"/>
  <c r="N165" i="1"/>
  <c r="O165" i="1"/>
  <c r="P165" i="1" s="1"/>
  <c r="L166" i="1"/>
  <c r="M166" i="1"/>
  <c r="N166" i="1"/>
  <c r="P166" i="1" s="1"/>
  <c r="O166" i="1"/>
  <c r="Q166" i="1"/>
  <c r="L167" i="1"/>
  <c r="M167" i="1"/>
  <c r="Q167" i="1" s="1"/>
  <c r="N167" i="1"/>
  <c r="O167" i="1"/>
  <c r="P167" i="1" s="1"/>
  <c r="L168" i="1"/>
  <c r="M168" i="1"/>
  <c r="N168" i="1"/>
  <c r="P168" i="1" s="1"/>
  <c r="O168" i="1"/>
  <c r="Q168" i="1"/>
  <c r="L169" i="1"/>
  <c r="M169" i="1"/>
  <c r="N169" i="1"/>
  <c r="O169" i="1"/>
  <c r="P169" i="1" s="1"/>
  <c r="Q169" i="1"/>
  <c r="L170" i="1"/>
  <c r="M170" i="1"/>
  <c r="Q170" i="1" s="1"/>
  <c r="N170" i="1"/>
  <c r="O170" i="1"/>
  <c r="L171" i="1"/>
  <c r="Q171" i="1" s="1"/>
  <c r="M171" i="1"/>
  <c r="N171" i="1"/>
  <c r="O171" i="1"/>
  <c r="P171" i="1"/>
  <c r="L172" i="1"/>
  <c r="M172" i="1"/>
  <c r="N172" i="1"/>
  <c r="P172" i="1" s="1"/>
  <c r="O172" i="1"/>
  <c r="Q172" i="1"/>
  <c r="L173" i="1"/>
  <c r="M173" i="1"/>
  <c r="N173" i="1"/>
  <c r="P173" i="1" s="1"/>
  <c r="O173" i="1"/>
  <c r="Q173" i="1"/>
  <c r="L174" i="1"/>
  <c r="M174" i="1"/>
  <c r="N174" i="1"/>
  <c r="O174" i="1"/>
  <c r="P174" i="1" s="1"/>
  <c r="Q174" i="1"/>
  <c r="L175" i="1"/>
  <c r="M175" i="1"/>
  <c r="N175" i="1"/>
  <c r="P175" i="1" s="1"/>
  <c r="O175" i="1"/>
  <c r="Q175" i="1"/>
  <c r="L176" i="1"/>
  <c r="M176" i="1"/>
  <c r="N176" i="1"/>
  <c r="O176" i="1"/>
  <c r="P176" i="1" s="1"/>
  <c r="Q176" i="1"/>
  <c r="L177" i="1"/>
  <c r="M177" i="1"/>
  <c r="N177" i="1"/>
  <c r="P177" i="1" s="1"/>
  <c r="O177" i="1"/>
  <c r="Q177" i="1"/>
  <c r="L178" i="1"/>
  <c r="M178" i="1"/>
  <c r="N178" i="1"/>
  <c r="O178" i="1"/>
  <c r="P178" i="1" s="1"/>
  <c r="Q178" i="1"/>
  <c r="L179" i="1"/>
  <c r="M179" i="1"/>
  <c r="N179" i="1"/>
  <c r="P179" i="1" s="1"/>
  <c r="O179" i="1"/>
  <c r="Q179" i="1"/>
  <c r="L180" i="1"/>
  <c r="M180" i="1"/>
  <c r="N180" i="1"/>
  <c r="O180" i="1"/>
  <c r="P180" i="1" s="1"/>
  <c r="Q180" i="1"/>
  <c r="L181" i="1"/>
  <c r="M181" i="1"/>
  <c r="N181" i="1"/>
  <c r="P181" i="1" s="1"/>
  <c r="O181" i="1"/>
  <c r="Q181" i="1"/>
  <c r="L182" i="1"/>
  <c r="M182" i="1"/>
  <c r="N182" i="1"/>
  <c r="O182" i="1"/>
  <c r="P182" i="1" s="1"/>
  <c r="Q182" i="1"/>
  <c r="L183" i="1"/>
  <c r="M183" i="1"/>
  <c r="N183" i="1"/>
  <c r="P183" i="1" s="1"/>
  <c r="O183" i="1"/>
  <c r="Q183" i="1"/>
  <c r="L184" i="1"/>
  <c r="M184" i="1"/>
  <c r="N184" i="1"/>
  <c r="O184" i="1"/>
  <c r="P184" i="1" s="1"/>
  <c r="Q184" i="1"/>
  <c r="L185" i="1"/>
  <c r="M185" i="1"/>
  <c r="N185" i="1"/>
  <c r="P185" i="1" s="1"/>
  <c r="O185" i="1"/>
  <c r="Q185" i="1"/>
  <c r="L186" i="1"/>
  <c r="M186" i="1"/>
  <c r="N186" i="1"/>
  <c r="O186" i="1"/>
  <c r="P186" i="1" s="1"/>
  <c r="Q186" i="1"/>
  <c r="L187" i="1"/>
  <c r="M187" i="1"/>
  <c r="N187" i="1"/>
  <c r="P187" i="1" s="1"/>
  <c r="O187" i="1"/>
  <c r="Q187" i="1"/>
  <c r="L188" i="1"/>
  <c r="M188" i="1"/>
  <c r="N188" i="1"/>
  <c r="O188" i="1"/>
  <c r="P188" i="1" s="1"/>
  <c r="Q188" i="1"/>
  <c r="L189" i="1"/>
  <c r="M189" i="1"/>
  <c r="N189" i="1"/>
  <c r="P189" i="1" s="1"/>
  <c r="O189" i="1"/>
  <c r="Q189" i="1"/>
  <c r="L190" i="1"/>
  <c r="M190" i="1"/>
  <c r="N190" i="1"/>
  <c r="O190" i="1"/>
  <c r="P190" i="1" s="1"/>
  <c r="Q190" i="1"/>
  <c r="L191" i="1"/>
  <c r="M191" i="1"/>
  <c r="N191" i="1"/>
  <c r="P191" i="1" s="1"/>
  <c r="O191" i="1"/>
  <c r="Q191" i="1"/>
  <c r="L192" i="1"/>
  <c r="M192" i="1"/>
  <c r="N192" i="1"/>
  <c r="O192" i="1"/>
  <c r="P192" i="1" s="1"/>
  <c r="Q192" i="1"/>
  <c r="L193" i="1"/>
  <c r="M193" i="1"/>
  <c r="N193" i="1"/>
  <c r="P193" i="1" s="1"/>
  <c r="O193" i="1"/>
  <c r="Q193" i="1"/>
  <c r="L194" i="1"/>
  <c r="M194" i="1"/>
  <c r="N194" i="1"/>
  <c r="O194" i="1"/>
  <c r="P194" i="1" s="1"/>
  <c r="Q194" i="1"/>
  <c r="L195" i="1"/>
  <c r="M195" i="1"/>
  <c r="N195" i="1"/>
  <c r="P195" i="1" s="1"/>
  <c r="O195" i="1"/>
  <c r="Q195" i="1"/>
  <c r="L196" i="1"/>
  <c r="M196" i="1"/>
  <c r="N196" i="1"/>
  <c r="O196" i="1"/>
  <c r="P196" i="1" s="1"/>
  <c r="Q196" i="1"/>
  <c r="L197" i="1"/>
  <c r="M197" i="1"/>
  <c r="N197" i="1"/>
  <c r="P197" i="1" s="1"/>
  <c r="O197" i="1"/>
  <c r="Q197" i="1"/>
  <c r="L198" i="1"/>
  <c r="M198" i="1"/>
  <c r="N198" i="1"/>
  <c r="O198" i="1"/>
  <c r="P198" i="1" s="1"/>
  <c r="Q198" i="1"/>
  <c r="L199" i="1"/>
  <c r="M199" i="1"/>
  <c r="N199" i="1"/>
  <c r="O199" i="1"/>
  <c r="Q199" i="1"/>
  <c r="L200" i="1"/>
  <c r="M200" i="1"/>
  <c r="Q200" i="1" s="1"/>
  <c r="N200" i="1"/>
  <c r="O200" i="1"/>
  <c r="P200" i="1" s="1"/>
  <c r="L201" i="1"/>
  <c r="M201" i="1"/>
  <c r="Q201" i="1" s="1"/>
  <c r="N201" i="1"/>
  <c r="P201" i="1" s="1"/>
  <c r="O201" i="1"/>
  <c r="L202" i="1"/>
  <c r="M202" i="1"/>
  <c r="Q202" i="1" s="1"/>
  <c r="N202" i="1"/>
  <c r="O202" i="1"/>
  <c r="P202" i="1" s="1"/>
  <c r="L203" i="1"/>
  <c r="M203" i="1"/>
  <c r="N203" i="1"/>
  <c r="O203" i="1"/>
  <c r="Q203" i="1"/>
  <c r="L204" i="1"/>
  <c r="M204" i="1"/>
  <c r="Q204" i="1" s="1"/>
  <c r="N204" i="1"/>
  <c r="O204" i="1"/>
  <c r="P204" i="1" s="1"/>
  <c r="L205" i="1"/>
  <c r="M205" i="1"/>
  <c r="Q205" i="1" s="1"/>
  <c r="N205" i="1"/>
  <c r="P205" i="1" s="1"/>
  <c r="O205" i="1"/>
  <c r="L206" i="1"/>
  <c r="M206" i="1"/>
  <c r="Q206" i="1" s="1"/>
  <c r="N206" i="1"/>
  <c r="O206" i="1"/>
  <c r="P206" i="1" s="1"/>
  <c r="L207" i="1"/>
  <c r="M207" i="1"/>
  <c r="N207" i="1"/>
  <c r="O207" i="1"/>
  <c r="Q207" i="1"/>
  <c r="L208" i="1"/>
  <c r="M208" i="1"/>
  <c r="Q208" i="1" s="1"/>
  <c r="N208" i="1"/>
  <c r="O208" i="1"/>
  <c r="P208" i="1" s="1"/>
  <c r="L209" i="1"/>
  <c r="M209" i="1"/>
  <c r="Q209" i="1" s="1"/>
  <c r="N209" i="1"/>
  <c r="P209" i="1" s="1"/>
  <c r="O209" i="1"/>
  <c r="L210" i="1"/>
  <c r="M210" i="1"/>
  <c r="Q210" i="1" s="1"/>
  <c r="N210" i="1"/>
  <c r="O210" i="1"/>
  <c r="P210" i="1" s="1"/>
  <c r="L211" i="1"/>
  <c r="M211" i="1"/>
  <c r="N211" i="1"/>
  <c r="O211" i="1"/>
  <c r="Q211" i="1"/>
  <c r="L212" i="1"/>
  <c r="M212" i="1"/>
  <c r="Q212" i="1" s="1"/>
  <c r="N212" i="1"/>
  <c r="O212" i="1"/>
  <c r="P212" i="1" s="1"/>
  <c r="L213" i="1"/>
  <c r="M213" i="1"/>
  <c r="Q213" i="1" s="1"/>
  <c r="N213" i="1"/>
  <c r="P213" i="1" s="1"/>
  <c r="O213" i="1"/>
  <c r="L214" i="1"/>
  <c r="M214" i="1"/>
  <c r="Q214" i="1" s="1"/>
  <c r="N214" i="1"/>
  <c r="O214" i="1"/>
  <c r="P214" i="1" s="1"/>
  <c r="L215" i="1"/>
  <c r="M215" i="1"/>
  <c r="N215" i="1"/>
  <c r="O215" i="1"/>
  <c r="Q215" i="1"/>
  <c r="L216" i="1"/>
  <c r="M216" i="1"/>
  <c r="Q216" i="1" s="1"/>
  <c r="N216" i="1"/>
  <c r="O216" i="1"/>
  <c r="P216" i="1" s="1"/>
  <c r="L217" i="1"/>
  <c r="M217" i="1"/>
  <c r="Q217" i="1" s="1"/>
  <c r="N217" i="1"/>
  <c r="P217" i="1" s="1"/>
  <c r="O217" i="1"/>
  <c r="L218" i="1"/>
  <c r="M218" i="1"/>
  <c r="Q218" i="1" s="1"/>
  <c r="N218" i="1"/>
  <c r="O218" i="1"/>
  <c r="P218" i="1" s="1"/>
  <c r="L219" i="1"/>
  <c r="M219" i="1"/>
  <c r="N219" i="1"/>
  <c r="O219" i="1"/>
  <c r="Q219" i="1"/>
  <c r="L220" i="1"/>
  <c r="M220" i="1"/>
  <c r="Q220" i="1" s="1"/>
  <c r="N220" i="1"/>
  <c r="O220" i="1"/>
  <c r="P220" i="1" s="1"/>
  <c r="L221" i="1"/>
  <c r="M221" i="1"/>
  <c r="Q221" i="1" s="1"/>
  <c r="N221" i="1"/>
  <c r="P221" i="1" s="1"/>
  <c r="O221" i="1"/>
  <c r="L222" i="1"/>
  <c r="M222" i="1"/>
  <c r="Q222" i="1" s="1"/>
  <c r="N222" i="1"/>
  <c r="O222" i="1"/>
  <c r="P222" i="1" s="1"/>
  <c r="L223" i="1"/>
  <c r="M223" i="1"/>
  <c r="N223" i="1"/>
  <c r="O223" i="1"/>
  <c r="Q223" i="1"/>
  <c r="L224" i="1"/>
  <c r="M224" i="1"/>
  <c r="Q224" i="1" s="1"/>
  <c r="N224" i="1"/>
  <c r="O224" i="1"/>
  <c r="P224" i="1" s="1"/>
  <c r="L225" i="1"/>
  <c r="M225" i="1"/>
  <c r="Q225" i="1" s="1"/>
  <c r="N225" i="1"/>
  <c r="P225" i="1" s="1"/>
  <c r="O225" i="1"/>
  <c r="L226" i="1"/>
  <c r="M226" i="1"/>
  <c r="Q226" i="1" s="1"/>
  <c r="N226" i="1"/>
  <c r="O226" i="1"/>
  <c r="P226" i="1" s="1"/>
  <c r="L227" i="1"/>
  <c r="M227" i="1"/>
  <c r="N227" i="1"/>
  <c r="O227" i="1"/>
  <c r="Q227" i="1"/>
  <c r="L228" i="1"/>
  <c r="M228" i="1"/>
  <c r="Q228" i="1" s="1"/>
  <c r="N228" i="1"/>
  <c r="O228" i="1"/>
  <c r="P228" i="1" s="1"/>
  <c r="L229" i="1"/>
  <c r="M229" i="1"/>
  <c r="Q229" i="1" s="1"/>
  <c r="N229" i="1"/>
  <c r="P229" i="1" s="1"/>
  <c r="O229" i="1"/>
  <c r="L230" i="1"/>
  <c r="M230" i="1"/>
  <c r="Q230" i="1" s="1"/>
  <c r="N230" i="1"/>
  <c r="O230" i="1"/>
  <c r="P230" i="1" s="1"/>
  <c r="L231" i="1"/>
  <c r="M231" i="1"/>
  <c r="N231" i="1"/>
  <c r="O231" i="1"/>
  <c r="Q231" i="1"/>
  <c r="L232" i="1"/>
  <c r="M232" i="1"/>
  <c r="Q232" i="1" s="1"/>
  <c r="N232" i="1"/>
  <c r="O232" i="1"/>
  <c r="P232" i="1" s="1"/>
  <c r="L233" i="1"/>
  <c r="M233" i="1"/>
  <c r="Q233" i="1" s="1"/>
  <c r="N233" i="1"/>
  <c r="P233" i="1" s="1"/>
  <c r="O233" i="1"/>
  <c r="L234" i="1"/>
  <c r="M234" i="1"/>
  <c r="Q234" i="1" s="1"/>
  <c r="N234" i="1"/>
  <c r="O234" i="1"/>
  <c r="P234" i="1" s="1"/>
  <c r="L235" i="1"/>
  <c r="M235" i="1"/>
  <c r="N235" i="1"/>
  <c r="O235" i="1"/>
  <c r="Q235" i="1"/>
  <c r="L236" i="1"/>
  <c r="M236" i="1"/>
  <c r="Q236" i="1" s="1"/>
  <c r="N236" i="1"/>
  <c r="O236" i="1"/>
  <c r="P236" i="1" s="1"/>
  <c r="L237" i="1"/>
  <c r="M237" i="1"/>
  <c r="Q237" i="1" s="1"/>
  <c r="N237" i="1"/>
  <c r="P237" i="1" s="1"/>
  <c r="O237" i="1"/>
  <c r="L238" i="1"/>
  <c r="M238" i="1"/>
  <c r="Q238" i="1" s="1"/>
  <c r="N238" i="1"/>
  <c r="O238" i="1"/>
  <c r="P238" i="1" s="1"/>
  <c r="L239" i="1"/>
  <c r="M239" i="1"/>
  <c r="N239" i="1"/>
  <c r="O239" i="1"/>
  <c r="Q239" i="1"/>
  <c r="L240" i="1"/>
  <c r="M240" i="1"/>
  <c r="Q240" i="1" s="1"/>
  <c r="N240" i="1"/>
  <c r="O240" i="1"/>
  <c r="P240" i="1" s="1"/>
  <c r="L241" i="1"/>
  <c r="M241" i="1"/>
  <c r="Q241" i="1" s="1"/>
  <c r="N241" i="1"/>
  <c r="P241" i="1" s="1"/>
  <c r="O241" i="1"/>
  <c r="L242" i="1"/>
  <c r="M242" i="1"/>
  <c r="Q242" i="1" s="1"/>
  <c r="N242" i="1"/>
  <c r="O242" i="1"/>
  <c r="P242" i="1" s="1"/>
  <c r="L243" i="1"/>
  <c r="M243" i="1"/>
  <c r="N243" i="1"/>
  <c r="O243" i="1"/>
  <c r="Q243" i="1"/>
  <c r="L244" i="1"/>
  <c r="M244" i="1"/>
  <c r="Q244" i="1" s="1"/>
  <c r="N244" i="1"/>
  <c r="O244" i="1"/>
  <c r="P244" i="1" s="1"/>
  <c r="L245" i="1"/>
  <c r="M245" i="1"/>
  <c r="Q245" i="1" s="1"/>
  <c r="N245" i="1"/>
  <c r="P245" i="1" s="1"/>
  <c r="O245" i="1"/>
  <c r="L246" i="1"/>
  <c r="M246" i="1"/>
  <c r="Q246" i="1" s="1"/>
  <c r="N246" i="1"/>
  <c r="O246" i="1"/>
  <c r="P246" i="1" s="1"/>
  <c r="L247" i="1"/>
  <c r="M247" i="1"/>
  <c r="N247" i="1"/>
  <c r="P247" i="1" s="1"/>
  <c r="O247" i="1"/>
  <c r="Q247" i="1"/>
  <c r="L248" i="1"/>
  <c r="M248" i="1"/>
  <c r="Q248" i="1" s="1"/>
  <c r="N248" i="1"/>
  <c r="O248" i="1"/>
  <c r="P248" i="1" s="1"/>
  <c r="L249" i="1"/>
  <c r="M249" i="1"/>
  <c r="N249" i="1"/>
  <c r="P249" i="1" s="1"/>
  <c r="O249" i="1"/>
  <c r="Q249" i="1"/>
  <c r="L250" i="1"/>
  <c r="M250" i="1"/>
  <c r="Q250" i="1" s="1"/>
  <c r="N250" i="1"/>
  <c r="O250" i="1"/>
  <c r="P250" i="1" s="1"/>
  <c r="L251" i="1"/>
  <c r="M251" i="1"/>
  <c r="N251" i="1"/>
  <c r="P251" i="1" s="1"/>
  <c r="O251" i="1"/>
  <c r="Q251" i="1"/>
  <c r="L252" i="1"/>
  <c r="M252" i="1"/>
  <c r="Q252" i="1" s="1"/>
  <c r="N252" i="1"/>
  <c r="O252" i="1"/>
  <c r="P252" i="1" s="1"/>
  <c r="L253" i="1"/>
  <c r="M253" i="1"/>
  <c r="N253" i="1"/>
  <c r="P253" i="1" s="1"/>
  <c r="O253" i="1"/>
  <c r="Q253" i="1"/>
  <c r="L254" i="1"/>
  <c r="M254" i="1"/>
  <c r="Q254" i="1" s="1"/>
  <c r="N254" i="1"/>
  <c r="O254" i="1"/>
  <c r="P254" i="1" s="1"/>
  <c r="L255" i="1"/>
  <c r="M255" i="1"/>
  <c r="N255" i="1"/>
  <c r="P255" i="1" s="1"/>
  <c r="O255" i="1"/>
  <c r="Q255" i="1"/>
  <c r="L256" i="1"/>
  <c r="M256" i="1"/>
  <c r="Q256" i="1" s="1"/>
  <c r="N256" i="1"/>
  <c r="O256" i="1"/>
  <c r="P256" i="1" s="1"/>
  <c r="L257" i="1"/>
  <c r="M257" i="1"/>
  <c r="N257" i="1"/>
  <c r="P257" i="1" s="1"/>
  <c r="O257" i="1"/>
  <c r="Q257" i="1"/>
  <c r="L258" i="1"/>
  <c r="M258" i="1"/>
  <c r="Q258" i="1" s="1"/>
  <c r="N258" i="1"/>
  <c r="O258" i="1"/>
  <c r="P258" i="1" s="1"/>
  <c r="L259" i="1"/>
  <c r="M259" i="1"/>
  <c r="N259" i="1"/>
  <c r="P259" i="1" s="1"/>
  <c r="O259" i="1"/>
  <c r="Q259" i="1"/>
  <c r="L260" i="1"/>
  <c r="M260" i="1"/>
  <c r="Q260" i="1" s="1"/>
  <c r="N260" i="1"/>
  <c r="O260" i="1"/>
  <c r="P260" i="1" s="1"/>
  <c r="L261" i="1"/>
  <c r="M261" i="1"/>
  <c r="N261" i="1"/>
  <c r="P261" i="1" s="1"/>
  <c r="O261" i="1"/>
  <c r="Q261" i="1"/>
  <c r="L262" i="1"/>
  <c r="M262" i="1"/>
  <c r="Q262" i="1" s="1"/>
  <c r="N262" i="1"/>
  <c r="O262" i="1"/>
  <c r="P262" i="1" s="1"/>
  <c r="L263" i="1"/>
  <c r="M263" i="1"/>
  <c r="N263" i="1"/>
  <c r="P263" i="1" s="1"/>
  <c r="O263" i="1"/>
  <c r="Q263" i="1"/>
  <c r="L264" i="1"/>
  <c r="M264" i="1"/>
  <c r="Q264" i="1" s="1"/>
  <c r="N264" i="1"/>
  <c r="O264" i="1"/>
  <c r="P264" i="1" s="1"/>
  <c r="L265" i="1"/>
  <c r="M265" i="1"/>
  <c r="N265" i="1"/>
  <c r="P265" i="1" s="1"/>
  <c r="O265" i="1"/>
  <c r="Q265" i="1"/>
  <c r="L266" i="1"/>
  <c r="M266" i="1"/>
  <c r="Q266" i="1" s="1"/>
  <c r="N266" i="1"/>
  <c r="O266" i="1"/>
  <c r="P266" i="1" s="1"/>
  <c r="L267" i="1"/>
  <c r="M267" i="1"/>
  <c r="N267" i="1"/>
  <c r="P267" i="1" s="1"/>
  <c r="O267" i="1"/>
  <c r="Q267" i="1"/>
  <c r="L268" i="1"/>
  <c r="M268" i="1"/>
  <c r="Q268" i="1" s="1"/>
  <c r="N268" i="1"/>
  <c r="O268" i="1"/>
  <c r="P268" i="1" s="1"/>
  <c r="L269" i="1"/>
  <c r="M269" i="1"/>
  <c r="N269" i="1"/>
  <c r="P269" i="1" s="1"/>
  <c r="O269" i="1"/>
  <c r="Q269" i="1"/>
  <c r="L270" i="1"/>
  <c r="M270" i="1"/>
  <c r="Q270" i="1" s="1"/>
  <c r="N270" i="1"/>
  <c r="O270" i="1"/>
  <c r="P270" i="1" s="1"/>
  <c r="L271" i="1"/>
  <c r="M271" i="1"/>
  <c r="N271" i="1"/>
  <c r="P271" i="1" s="1"/>
  <c r="O271" i="1"/>
  <c r="Q271" i="1"/>
  <c r="L272" i="1"/>
  <c r="M272" i="1"/>
  <c r="Q272" i="1" s="1"/>
  <c r="N272" i="1"/>
  <c r="O272" i="1"/>
  <c r="P272" i="1" s="1"/>
  <c r="L273" i="1"/>
  <c r="M273" i="1"/>
  <c r="N273" i="1"/>
  <c r="P273" i="1" s="1"/>
  <c r="O273" i="1"/>
  <c r="Q273" i="1"/>
  <c r="L274" i="1"/>
  <c r="M274" i="1"/>
  <c r="Q274" i="1" s="1"/>
  <c r="N274" i="1"/>
  <c r="O274" i="1"/>
  <c r="P274" i="1" s="1"/>
  <c r="L275" i="1"/>
  <c r="M275" i="1"/>
  <c r="N275" i="1"/>
  <c r="P275" i="1" s="1"/>
  <c r="O275" i="1"/>
  <c r="Q275" i="1"/>
  <c r="L276" i="1"/>
  <c r="M276" i="1"/>
  <c r="Q276" i="1" s="1"/>
  <c r="N276" i="1"/>
  <c r="O276" i="1"/>
  <c r="P276" i="1" s="1"/>
  <c r="L277" i="1"/>
  <c r="M277" i="1"/>
  <c r="N277" i="1"/>
  <c r="P277" i="1" s="1"/>
  <c r="O277" i="1"/>
  <c r="Q277" i="1"/>
  <c r="L278" i="1"/>
  <c r="M278" i="1"/>
  <c r="Q278" i="1" s="1"/>
  <c r="N278" i="1"/>
  <c r="O278" i="1"/>
  <c r="P278" i="1" s="1"/>
  <c r="L279" i="1"/>
  <c r="M279" i="1"/>
  <c r="N279" i="1"/>
  <c r="P279" i="1" s="1"/>
  <c r="O279" i="1"/>
  <c r="Q279" i="1"/>
  <c r="L280" i="1"/>
  <c r="M280" i="1"/>
  <c r="Q280" i="1" s="1"/>
  <c r="N280" i="1"/>
  <c r="O280" i="1"/>
  <c r="P280" i="1" s="1"/>
  <c r="L281" i="1"/>
  <c r="M281" i="1"/>
  <c r="N281" i="1"/>
  <c r="P281" i="1" s="1"/>
  <c r="O281" i="1"/>
  <c r="Q281" i="1"/>
  <c r="L282" i="1"/>
  <c r="M282" i="1"/>
  <c r="Q282" i="1" s="1"/>
  <c r="N282" i="1"/>
  <c r="O282" i="1"/>
  <c r="P282" i="1" s="1"/>
  <c r="L283" i="1"/>
  <c r="M283" i="1"/>
  <c r="N283" i="1"/>
  <c r="P283" i="1" s="1"/>
  <c r="O283" i="1"/>
  <c r="Q283" i="1"/>
  <c r="L284" i="1"/>
  <c r="M284" i="1"/>
  <c r="Q284" i="1" s="1"/>
  <c r="N284" i="1"/>
  <c r="O284" i="1"/>
  <c r="P284" i="1" s="1"/>
  <c r="L285" i="1"/>
  <c r="M285" i="1"/>
  <c r="N285" i="1"/>
  <c r="P285" i="1" s="1"/>
  <c r="O285" i="1"/>
  <c r="Q285" i="1"/>
  <c r="L286" i="1"/>
  <c r="M286" i="1"/>
  <c r="N286" i="1"/>
  <c r="O286" i="1"/>
  <c r="P286" i="1" s="1"/>
  <c r="Q286" i="1"/>
  <c r="L287" i="1"/>
  <c r="M287" i="1"/>
  <c r="Q287" i="1" s="1"/>
  <c r="N287" i="1"/>
  <c r="O287" i="1"/>
  <c r="L288" i="1"/>
  <c r="Q288" i="1" s="1"/>
  <c r="M288" i="1"/>
  <c r="N288" i="1"/>
  <c r="O288" i="1"/>
  <c r="P288" i="1"/>
  <c r="L289" i="1"/>
  <c r="M289" i="1"/>
  <c r="N289" i="1"/>
  <c r="P289" i="1" s="1"/>
  <c r="O289" i="1"/>
  <c r="Q289" i="1"/>
  <c r="L290" i="1"/>
  <c r="M290" i="1"/>
  <c r="N290" i="1"/>
  <c r="O290" i="1"/>
  <c r="P290" i="1" s="1"/>
  <c r="Q290" i="1"/>
  <c r="L291" i="1"/>
  <c r="M291" i="1"/>
  <c r="Q291" i="1" s="1"/>
  <c r="N291" i="1"/>
  <c r="O291" i="1"/>
  <c r="L292" i="1"/>
  <c r="Q292" i="1" s="1"/>
  <c r="M292" i="1"/>
  <c r="N292" i="1"/>
  <c r="O292" i="1"/>
  <c r="P292" i="1"/>
  <c r="L293" i="1"/>
  <c r="M293" i="1"/>
  <c r="N293" i="1"/>
  <c r="P293" i="1" s="1"/>
  <c r="O293" i="1"/>
  <c r="Q293" i="1"/>
  <c r="L294" i="1"/>
  <c r="M294" i="1"/>
  <c r="N294" i="1"/>
  <c r="O294" i="1"/>
  <c r="P294" i="1" s="1"/>
  <c r="Q294" i="1"/>
  <c r="L295" i="1"/>
  <c r="M295" i="1"/>
  <c r="N295" i="1"/>
  <c r="P295" i="1" s="1"/>
  <c r="O295" i="1"/>
  <c r="Q295" i="1"/>
  <c r="L296" i="1"/>
  <c r="M296" i="1"/>
  <c r="N296" i="1"/>
  <c r="O296" i="1"/>
  <c r="P296" i="1" s="1"/>
  <c r="Q296" i="1"/>
  <c r="L297" i="1"/>
  <c r="M297" i="1"/>
  <c r="N297" i="1"/>
  <c r="P297" i="1" s="1"/>
  <c r="O297" i="1"/>
  <c r="Q297" i="1"/>
  <c r="L298" i="1"/>
  <c r="M298" i="1"/>
  <c r="N298" i="1"/>
  <c r="O298" i="1"/>
  <c r="P298" i="1" s="1"/>
  <c r="Q298" i="1"/>
  <c r="L299" i="1"/>
  <c r="M299" i="1"/>
  <c r="N299" i="1"/>
  <c r="P299" i="1" s="1"/>
  <c r="O299" i="1"/>
  <c r="Q299" i="1"/>
  <c r="L300" i="1"/>
  <c r="M300" i="1"/>
  <c r="N300" i="1"/>
  <c r="O300" i="1"/>
  <c r="P300" i="1" s="1"/>
  <c r="Q300" i="1"/>
  <c r="L301" i="1"/>
  <c r="M301" i="1"/>
  <c r="N301" i="1"/>
  <c r="P301" i="1" s="1"/>
  <c r="O301" i="1"/>
  <c r="Q301" i="1"/>
  <c r="L302" i="1"/>
  <c r="M302" i="1"/>
  <c r="N302" i="1"/>
  <c r="O302" i="1"/>
  <c r="P302" i="1" s="1"/>
  <c r="Q302" i="1"/>
  <c r="L303" i="1"/>
  <c r="M303" i="1"/>
  <c r="N303" i="1"/>
  <c r="P303" i="1" s="1"/>
  <c r="O303" i="1"/>
  <c r="Q303" i="1"/>
  <c r="L304" i="1"/>
  <c r="M304" i="1"/>
  <c r="N304" i="1"/>
  <c r="O304" i="1"/>
  <c r="P304" i="1" s="1"/>
  <c r="Q304" i="1"/>
  <c r="L305" i="1"/>
  <c r="M305" i="1"/>
  <c r="N305" i="1"/>
  <c r="P305" i="1" s="1"/>
  <c r="O305" i="1"/>
  <c r="Q305" i="1"/>
  <c r="L306" i="1"/>
  <c r="M306" i="1"/>
  <c r="N306" i="1"/>
  <c r="O306" i="1"/>
  <c r="P306" i="1" s="1"/>
  <c r="Q306" i="1"/>
  <c r="L307" i="1"/>
  <c r="M307" i="1"/>
  <c r="N307" i="1"/>
  <c r="P307" i="1" s="1"/>
  <c r="O307" i="1"/>
  <c r="Q307" i="1"/>
  <c r="L308" i="1"/>
  <c r="M308" i="1"/>
  <c r="N308" i="1"/>
  <c r="O308" i="1"/>
  <c r="P308" i="1" s="1"/>
  <c r="Q308" i="1"/>
  <c r="L309" i="1"/>
  <c r="M309" i="1"/>
  <c r="Q309" i="1" s="1"/>
  <c r="N309" i="1"/>
  <c r="P309" i="1" s="1"/>
  <c r="O309" i="1"/>
  <c r="L310" i="1"/>
  <c r="M310" i="1"/>
  <c r="N310" i="1"/>
  <c r="O310" i="1"/>
  <c r="P310" i="1" s="1"/>
  <c r="Q310" i="1"/>
  <c r="L311" i="1"/>
  <c r="M311" i="1"/>
  <c r="N311" i="1"/>
  <c r="P311" i="1" s="1"/>
  <c r="O311" i="1"/>
  <c r="Q311" i="1"/>
  <c r="L312" i="1"/>
  <c r="M312" i="1"/>
  <c r="N312" i="1"/>
  <c r="O312" i="1"/>
  <c r="P312" i="1" s="1"/>
  <c r="Q312" i="1"/>
  <c r="L313" i="1"/>
  <c r="M313" i="1"/>
  <c r="Q313" i="1" s="1"/>
  <c r="N313" i="1"/>
  <c r="P313" i="1" s="1"/>
  <c r="O313" i="1"/>
  <c r="L314" i="1"/>
  <c r="M314" i="1"/>
  <c r="Q314" i="1" s="1"/>
  <c r="N314" i="1"/>
  <c r="O314" i="1"/>
  <c r="P314" i="1" s="1"/>
  <c r="L315" i="1"/>
  <c r="M315" i="1"/>
  <c r="Q315" i="1" s="1"/>
  <c r="N315" i="1"/>
  <c r="P315" i="1" s="1"/>
  <c r="O315" i="1"/>
  <c r="L316" i="1"/>
  <c r="M316" i="1"/>
  <c r="Q316" i="1" s="1"/>
  <c r="N316" i="1"/>
  <c r="O316" i="1"/>
  <c r="P316" i="1" s="1"/>
  <c r="L317" i="1"/>
  <c r="M317" i="1"/>
  <c r="N317" i="1"/>
  <c r="P317" i="1" s="1"/>
  <c r="O317" i="1"/>
  <c r="Q317" i="1"/>
  <c r="L318" i="1"/>
  <c r="M318" i="1"/>
  <c r="Q318" i="1" s="1"/>
  <c r="N318" i="1"/>
  <c r="O318" i="1"/>
  <c r="P318" i="1" s="1"/>
  <c r="L319" i="1"/>
  <c r="M319" i="1"/>
  <c r="Q319" i="1" s="1"/>
  <c r="N319" i="1"/>
  <c r="P319" i="1" s="1"/>
  <c r="O319" i="1"/>
  <c r="L320" i="1"/>
  <c r="M320" i="1"/>
  <c r="N320" i="1"/>
  <c r="O320" i="1"/>
  <c r="P320" i="1" s="1"/>
  <c r="Q320" i="1"/>
  <c r="L321" i="1"/>
  <c r="M321" i="1"/>
  <c r="N321" i="1"/>
  <c r="P321" i="1" s="1"/>
  <c r="O321" i="1"/>
  <c r="Q321" i="1"/>
  <c r="L322" i="1"/>
  <c r="M322" i="1"/>
  <c r="Q322" i="1" s="1"/>
  <c r="N322" i="1"/>
  <c r="O322" i="1"/>
  <c r="P322" i="1" s="1"/>
  <c r="L323" i="1"/>
  <c r="M323" i="1"/>
  <c r="Q323" i="1" s="1"/>
  <c r="N323" i="1"/>
  <c r="P323" i="1" s="1"/>
  <c r="O323" i="1"/>
  <c r="L324" i="1"/>
  <c r="M324" i="1"/>
  <c r="Q324" i="1" s="1"/>
  <c r="N324" i="1"/>
  <c r="O324" i="1"/>
  <c r="P324" i="1" s="1"/>
  <c r="L325" i="1"/>
  <c r="M325" i="1"/>
  <c r="Q325" i="1" s="1"/>
  <c r="N325" i="1"/>
  <c r="P325" i="1" s="1"/>
  <c r="O325" i="1"/>
  <c r="L326" i="1"/>
  <c r="M326" i="1"/>
  <c r="N326" i="1"/>
  <c r="O326" i="1"/>
  <c r="P326" i="1" s="1"/>
  <c r="Q326" i="1"/>
  <c r="L327" i="1"/>
  <c r="M327" i="1"/>
  <c r="N327" i="1"/>
  <c r="P327" i="1" s="1"/>
  <c r="O327" i="1"/>
  <c r="Q327" i="1"/>
  <c r="L328" i="1"/>
  <c r="M328" i="1"/>
  <c r="Q328" i="1" s="1"/>
  <c r="N328" i="1"/>
  <c r="O328" i="1"/>
  <c r="P328" i="1" s="1"/>
  <c r="L329" i="1"/>
  <c r="M329" i="1"/>
  <c r="Q329" i="1" s="1"/>
  <c r="N329" i="1"/>
  <c r="P329" i="1" s="1"/>
  <c r="O329" i="1"/>
  <c r="L330" i="1"/>
  <c r="M330" i="1"/>
  <c r="N330" i="1"/>
  <c r="O330" i="1"/>
  <c r="P330" i="1" s="1"/>
  <c r="Q330" i="1"/>
  <c r="L331" i="1"/>
  <c r="M331" i="1"/>
  <c r="Q331" i="1" s="1"/>
  <c r="N331" i="1"/>
  <c r="P331" i="1" s="1"/>
  <c r="O331" i="1"/>
  <c r="L332" i="1"/>
  <c r="M332" i="1"/>
  <c r="Q332" i="1" s="1"/>
  <c r="N332" i="1"/>
  <c r="O332" i="1"/>
  <c r="P332" i="1" s="1"/>
  <c r="L333" i="1"/>
  <c r="M333" i="1"/>
  <c r="N333" i="1"/>
  <c r="P333" i="1" s="1"/>
  <c r="O333" i="1"/>
  <c r="Q333" i="1"/>
  <c r="L334" i="1"/>
  <c r="M334" i="1"/>
  <c r="Q334" i="1" s="1"/>
  <c r="N334" i="1"/>
  <c r="O334" i="1"/>
  <c r="P334" i="1" s="1"/>
  <c r="L335" i="1"/>
  <c r="M335" i="1"/>
  <c r="Q335" i="1" s="1"/>
  <c r="N335" i="1"/>
  <c r="P335" i="1" s="1"/>
  <c r="O335" i="1"/>
  <c r="L336" i="1"/>
  <c r="M336" i="1"/>
  <c r="N336" i="1"/>
  <c r="O336" i="1"/>
  <c r="P336" i="1" s="1"/>
  <c r="Q336" i="1"/>
  <c r="L337" i="1"/>
  <c r="M337" i="1"/>
  <c r="Q337" i="1" s="1"/>
  <c r="N337" i="1"/>
  <c r="P337" i="1" s="1"/>
  <c r="O337" i="1"/>
  <c r="L338" i="1"/>
  <c r="M338" i="1"/>
  <c r="Q338" i="1" s="1"/>
  <c r="N338" i="1"/>
  <c r="O338" i="1"/>
  <c r="P338" i="1" s="1"/>
  <c r="L339" i="1"/>
  <c r="M339" i="1"/>
  <c r="N339" i="1"/>
  <c r="P339" i="1" s="1"/>
  <c r="O339" i="1"/>
  <c r="Q339" i="1"/>
  <c r="L340" i="1"/>
  <c r="M340" i="1"/>
  <c r="Q340" i="1" s="1"/>
  <c r="N340" i="1"/>
  <c r="O340" i="1"/>
  <c r="P340" i="1" s="1"/>
  <c r="L341" i="1"/>
  <c r="M341" i="1"/>
  <c r="Q341" i="1" s="1"/>
  <c r="N341" i="1"/>
  <c r="P341" i="1" s="1"/>
  <c r="O341" i="1"/>
  <c r="L342" i="1"/>
  <c r="M342" i="1"/>
  <c r="N342" i="1"/>
  <c r="O342" i="1"/>
  <c r="P342" i="1" s="1"/>
  <c r="Q342" i="1"/>
  <c r="L343" i="1"/>
  <c r="M343" i="1"/>
  <c r="Q343" i="1" s="1"/>
  <c r="N343" i="1"/>
  <c r="P343" i="1" s="1"/>
  <c r="O343" i="1"/>
  <c r="L344" i="1"/>
  <c r="M344" i="1"/>
  <c r="Q344" i="1" s="1"/>
  <c r="N344" i="1"/>
  <c r="O344" i="1"/>
  <c r="P344" i="1" s="1"/>
  <c r="L345" i="1"/>
  <c r="M345" i="1"/>
  <c r="N345" i="1"/>
  <c r="P345" i="1" s="1"/>
  <c r="O345" i="1"/>
  <c r="Q345" i="1"/>
  <c r="L346" i="1"/>
  <c r="M346" i="1"/>
  <c r="Q346" i="1" s="1"/>
  <c r="N346" i="1"/>
  <c r="O346" i="1"/>
  <c r="P346" i="1" s="1"/>
  <c r="L347" i="1"/>
  <c r="M347" i="1"/>
  <c r="Q347" i="1" s="1"/>
  <c r="N347" i="1"/>
  <c r="P347" i="1" s="1"/>
  <c r="O347" i="1"/>
  <c r="L348" i="1"/>
  <c r="M348" i="1"/>
  <c r="Q348" i="1" s="1"/>
  <c r="N348" i="1"/>
  <c r="O348" i="1"/>
  <c r="P348" i="1" s="1"/>
  <c r="L349" i="1"/>
  <c r="M349" i="1"/>
  <c r="Q349" i="1" s="1"/>
  <c r="N349" i="1"/>
  <c r="P349" i="1" s="1"/>
  <c r="O349" i="1"/>
  <c r="L350" i="1"/>
  <c r="M350" i="1"/>
  <c r="Q350" i="1" s="1"/>
  <c r="N350" i="1"/>
  <c r="O350" i="1"/>
  <c r="P350" i="1" s="1"/>
  <c r="L351" i="1"/>
  <c r="M351" i="1"/>
  <c r="Q351" i="1" s="1"/>
  <c r="N351" i="1"/>
  <c r="P351" i="1" s="1"/>
  <c r="O351" i="1"/>
  <c r="L352" i="1"/>
  <c r="M352" i="1"/>
  <c r="Q352" i="1" s="1"/>
  <c r="N352" i="1"/>
  <c r="O352" i="1"/>
  <c r="P352" i="1" s="1"/>
  <c r="L353" i="1"/>
  <c r="M353" i="1"/>
  <c r="N353" i="1"/>
  <c r="P353" i="1" s="1"/>
  <c r="O353" i="1"/>
  <c r="Q353" i="1"/>
  <c r="L354" i="1"/>
  <c r="M354" i="1"/>
  <c r="Q354" i="1" s="1"/>
  <c r="N354" i="1"/>
  <c r="O354" i="1"/>
  <c r="P354" i="1" s="1"/>
  <c r="L355" i="1"/>
  <c r="M355" i="1"/>
  <c r="Q355" i="1" s="1"/>
  <c r="N355" i="1"/>
  <c r="P355" i="1" s="1"/>
  <c r="O355" i="1"/>
  <c r="L356" i="1"/>
  <c r="M356" i="1"/>
  <c r="Q356" i="1" s="1"/>
  <c r="N356" i="1"/>
  <c r="O356" i="1"/>
  <c r="P356" i="1" s="1"/>
  <c r="L357" i="1"/>
  <c r="M357" i="1"/>
  <c r="Q357" i="1" s="1"/>
  <c r="N357" i="1"/>
  <c r="P357" i="1" s="1"/>
  <c r="O357" i="1"/>
  <c r="L358" i="1"/>
  <c r="M358" i="1"/>
  <c r="Q358" i="1" s="1"/>
  <c r="N358" i="1"/>
  <c r="O358" i="1"/>
  <c r="P358" i="1" s="1"/>
  <c r="L359" i="1"/>
  <c r="M359" i="1"/>
  <c r="N359" i="1"/>
  <c r="P359" i="1" s="1"/>
  <c r="O359" i="1"/>
  <c r="Q359" i="1"/>
  <c r="L360" i="1"/>
  <c r="M360" i="1"/>
  <c r="Q360" i="1" s="1"/>
  <c r="N360" i="1"/>
  <c r="O360" i="1"/>
  <c r="P360" i="1" s="1"/>
  <c r="L361" i="1"/>
  <c r="M361" i="1"/>
  <c r="Q361" i="1" s="1"/>
  <c r="N361" i="1"/>
  <c r="P361" i="1" s="1"/>
  <c r="O361" i="1"/>
  <c r="L362" i="1"/>
  <c r="M362" i="1"/>
  <c r="Q362" i="1" s="1"/>
  <c r="N362" i="1"/>
  <c r="O362" i="1"/>
  <c r="P362" i="1" s="1"/>
  <c r="O2" i="1"/>
  <c r="N2" i="1"/>
  <c r="M2" i="1"/>
  <c r="L2" i="1"/>
  <c r="AB100" i="1"/>
  <c r="Y104" i="1" l="1"/>
  <c r="Y112" i="1"/>
  <c r="Y116" i="1"/>
  <c r="Y120" i="1"/>
  <c r="Y124" i="1"/>
  <c r="Y128" i="1"/>
  <c r="Y132" i="1"/>
  <c r="Y136" i="1"/>
  <c r="Y140" i="1"/>
  <c r="Y144" i="1"/>
  <c r="Y148" i="1"/>
  <c r="Y156" i="1"/>
  <c r="Y164" i="1"/>
  <c r="Y172" i="1"/>
  <c r="Y180" i="1"/>
  <c r="Y188" i="1"/>
  <c r="Y110" i="1"/>
  <c r="Y150" i="1"/>
  <c r="Y158" i="1"/>
  <c r="Y166" i="1"/>
  <c r="Y174" i="1"/>
  <c r="Y182" i="1"/>
  <c r="Y190" i="1"/>
  <c r="Y198" i="1"/>
  <c r="Y206" i="1"/>
  <c r="Y214" i="1"/>
  <c r="Y222" i="1"/>
  <c r="Y230" i="1"/>
  <c r="Y238" i="1"/>
  <c r="Y246" i="1"/>
  <c r="Y254" i="1"/>
  <c r="Y262" i="1"/>
  <c r="Y270" i="1"/>
  <c r="Y274" i="1"/>
  <c r="Y196" i="1"/>
  <c r="Y204" i="1"/>
  <c r="Y212" i="1"/>
  <c r="Y220" i="1"/>
  <c r="Y228" i="1"/>
  <c r="Y236" i="1"/>
  <c r="Y244" i="1"/>
  <c r="Y252" i="1"/>
  <c r="Y194" i="1"/>
  <c r="Y202" i="1"/>
  <c r="Y210" i="1"/>
  <c r="Y218" i="1"/>
  <c r="Y226" i="1"/>
  <c r="Y234" i="1"/>
  <c r="Y242" i="1"/>
  <c r="Y250" i="1"/>
  <c r="Y258" i="1"/>
  <c r="Y266" i="1"/>
  <c r="Y272" i="1"/>
  <c r="Y276" i="1"/>
  <c r="P243" i="1"/>
  <c r="P239" i="1"/>
  <c r="P235" i="1"/>
  <c r="P231" i="1"/>
  <c r="P227" i="1"/>
  <c r="P223" i="1"/>
  <c r="P219" i="1"/>
  <c r="P215" i="1"/>
  <c r="P211" i="1"/>
  <c r="P207" i="1"/>
  <c r="P203" i="1"/>
  <c r="P199" i="1"/>
  <c r="P291" i="1"/>
  <c r="P287" i="1"/>
  <c r="P170" i="1"/>
  <c r="E6" i="1"/>
  <c r="G15" i="1" l="1"/>
  <c r="Q2" i="1"/>
  <c r="P2" i="1"/>
  <c r="B4" i="1" l="1"/>
  <c r="B5" i="1" s="1"/>
  <c r="B8" i="1" s="1"/>
  <c r="E10" i="1" l="1"/>
  <c r="H3" i="1"/>
  <c r="F10" i="1"/>
  <c r="D4" i="1"/>
  <c r="D2" i="1"/>
  <c r="I3" i="1" l="1"/>
  <c r="F6" i="1"/>
  <c r="H2" i="1"/>
  <c r="I2" i="1"/>
</calcChain>
</file>

<file path=xl/sharedStrings.xml><?xml version="1.0" encoding="utf-8"?>
<sst xmlns="http://schemas.openxmlformats.org/spreadsheetml/2006/main" count="38" uniqueCount="27">
  <si>
    <t>Name</t>
  </si>
  <si>
    <t>mass</t>
  </si>
  <si>
    <t>servomount</t>
  </si>
  <si>
    <t>mount</t>
  </si>
  <si>
    <t>screws+servobase</t>
  </si>
  <si>
    <t>servo</t>
  </si>
  <si>
    <t>servo mount2</t>
  </si>
  <si>
    <t>motor</t>
  </si>
  <si>
    <t>CG1</t>
  </si>
  <si>
    <t>CG2</t>
  </si>
  <si>
    <t>Alpha</t>
  </si>
  <si>
    <t>Beta</t>
  </si>
  <si>
    <t>CG1(x)</t>
  </si>
  <si>
    <t>CG1(y)</t>
  </si>
  <si>
    <t>CG2(x)</t>
  </si>
  <si>
    <t>CG2(y)</t>
  </si>
  <si>
    <t>NewCG(x)</t>
  </si>
  <si>
    <t>NewCG(y)</t>
  </si>
  <si>
    <t>TM</t>
  </si>
  <si>
    <t>L1</t>
  </si>
  <si>
    <t>L2</t>
  </si>
  <si>
    <t>coordinates(y)</t>
  </si>
  <si>
    <t>Coordinates(x)</t>
  </si>
  <si>
    <t>x</t>
  </si>
  <si>
    <t>y</t>
  </si>
  <si>
    <t>alpha</t>
  </si>
  <si>
    <t xml:space="preserve">beta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</si>
</sst>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/>
    <xf numFmtId="0" fontId="2" fillId="2" borderId="1" xfId="0" applyFont="1" applyFill="1" applyBorder="1"/>
    <xf numFmtId="2" fontId="2" fillId="2" borderId="1" xfId="0" applyNumberFormat="1" applyFont="1" applyFill="1" applyBorder="1"/>
    <xf numFmtId="2" fontId="0" fillId="0" borderId="0" xfId="0" applyNumberFormat="1"/>
    <xf numFmtId="2" fontId="0" fillId="0" borderId="0" xfId="0" applyNumberFormat="1" applyAlignment="1">
      <alignment wrapText="1"/>
    </xf>
    <xf numFmtId="168" fontId="2" fillId="2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362"/>
  <sheetViews>
    <sheetView tabSelected="1" workbookViewId="0">
      <pane ySplit="1" topLeftCell="A2" activePane="bottomLeft" state="frozen"/>
      <selection activeCell="B1" sqref="B1"/>
      <selection pane="bottomLeft" activeCell="I3" sqref="I3"/>
    </sheetView>
  </sheetViews>
  <sheetFormatPr defaultRowHeight="15" x14ac:dyDescent="0.25"/>
  <cols>
    <col min="1" max="1" width="19.85546875" customWidth="1"/>
    <col min="2" max="2" width="17.140625" customWidth="1"/>
    <col min="3" max="3" width="16.7109375" customWidth="1"/>
    <col min="9" max="9" width="11.42578125" customWidth="1"/>
    <col min="10" max="10" width="11.140625" customWidth="1"/>
    <col min="12" max="12" width="12" bestFit="1" customWidth="1"/>
    <col min="13" max="13" width="9.5703125" bestFit="1" customWidth="1"/>
    <col min="14" max="14" width="11.5703125" style="4" hidden="1" customWidth="1"/>
    <col min="15" max="15" width="0" style="4" hidden="1" customWidth="1"/>
    <col min="16" max="16" width="0" hidden="1" customWidth="1"/>
    <col min="19" max="19" width="11.140625" customWidth="1"/>
    <col min="21" max="21" width="12.140625" bestFit="1" customWidth="1"/>
    <col min="22" max="22" width="11.28515625" bestFit="1" customWidth="1"/>
    <col min="23" max="23" width="10.140625" style="4" hidden="1" customWidth="1"/>
    <col min="24" max="24" width="9.28515625" style="4" hidden="1" customWidth="1"/>
    <col min="25" max="25" width="13.85546875" hidden="1" customWidth="1"/>
  </cols>
  <sheetData>
    <row r="1" spans="1:27" s="1" customFormat="1" x14ac:dyDescent="0.25">
      <c r="A1" s="1" t="s">
        <v>0</v>
      </c>
      <c r="B1" s="1" t="s">
        <v>22</v>
      </c>
      <c r="C1" s="1" t="s">
        <v>21</v>
      </c>
      <c r="D1" s="1" t="s">
        <v>1</v>
      </c>
      <c r="H1" s="1" t="s">
        <v>23</v>
      </c>
      <c r="I1" s="1" t="s">
        <v>24</v>
      </c>
      <c r="J1" s="1" t="s">
        <v>10</v>
      </c>
      <c r="K1" s="1" t="s">
        <v>11</v>
      </c>
      <c r="L1" s="1" t="s">
        <v>12</v>
      </c>
      <c r="M1" s="1" t="s">
        <v>14</v>
      </c>
      <c r="N1" s="1" t="s">
        <v>13</v>
      </c>
      <c r="O1" s="1" t="s">
        <v>15</v>
      </c>
      <c r="P1" s="1" t="s">
        <v>17</v>
      </c>
      <c r="Q1" s="1" t="s">
        <v>16</v>
      </c>
      <c r="S1" s="1" t="s">
        <v>10</v>
      </c>
      <c r="T1" s="1" t="s">
        <v>11</v>
      </c>
      <c r="U1" s="1" t="s">
        <v>12</v>
      </c>
      <c r="V1" s="1" t="s">
        <v>14</v>
      </c>
      <c r="W1" s="1" t="s">
        <v>13</v>
      </c>
      <c r="X1" s="1" t="s">
        <v>15</v>
      </c>
      <c r="Y1" s="1" t="s">
        <v>17</v>
      </c>
      <c r="Z1" s="1" t="s">
        <v>16</v>
      </c>
    </row>
    <row r="2" spans="1:27" x14ac:dyDescent="0.25">
      <c r="A2" t="s">
        <v>2</v>
      </c>
      <c r="B2">
        <v>0</v>
      </c>
      <c r="C2">
        <v>2.1320000000000001</v>
      </c>
      <c r="D2">
        <f>11+4</f>
        <v>15</v>
      </c>
      <c r="G2" s="1" t="s">
        <v>8</v>
      </c>
      <c r="H2">
        <f>((D2*B2)+(D3*B3)+(D4*B4)+(D5*B5))/(SUM(D2:D5))</f>
        <v>0.72307692307692306</v>
      </c>
      <c r="I2">
        <f>((D2*C2)+(D3*C3)+(D4*C4)+(D5*C5))/(SUM(D2:D5))</f>
        <v>8.8656230769230771</v>
      </c>
      <c r="J2">
        <v>0</v>
      </c>
      <c r="K2">
        <v>0</v>
      </c>
      <c r="L2">
        <f>0.723077+8.86562308*COS(J2*PI()/180)</f>
        <v>9.5887000800000006</v>
      </c>
      <c r="M2" s="2">
        <f>1.414792+(13.34*COS(J2*PI()/180))+((17.1072106-13.34)*COS(((K2+J2-90)*PI()/180)))</f>
        <v>14.754792</v>
      </c>
      <c r="N2">
        <f>8.86562308*SIN(J2*PI()/180)</f>
        <v>0</v>
      </c>
      <c r="O2">
        <f>(13.34*SIN(J2*PI()/180))+((17.1072106-13.34)*SIN((K2+J2-90)*PI()/180))</f>
        <v>-3.7672105999999985</v>
      </c>
      <c r="P2" s="4">
        <f>((130*N2)+(88.02*O2))/(130+88.02)</f>
        <v>-1.5209149482249331</v>
      </c>
      <c r="Q2" s="4">
        <f>((130*L2)+(88.02*M2))/(130+88.02)</f>
        <v>11.674377590312817</v>
      </c>
      <c r="S2">
        <v>0</v>
      </c>
      <c r="T2">
        <v>0</v>
      </c>
      <c r="U2" s="6">
        <f>0.72+8.87*COS(S2*PI()/180)</f>
        <v>9.59</v>
      </c>
      <c r="V2" s="7">
        <f>1.41+(13.34*COS(S2*PI()/180))+((17.1-13.34)*COS(((T2+S2-90)*PI()/180)))</f>
        <v>14.75</v>
      </c>
      <c r="W2" s="6">
        <f>8.87*SIN(S2*PI()/180)</f>
        <v>0</v>
      </c>
      <c r="X2" s="6">
        <f>(13.34*SIN(S2*PI()/180))+((17.1-13.34)*SIN((T2+S2-90)*PI()/180))</f>
        <v>-3.7600000000000016</v>
      </c>
      <c r="Y2" s="5">
        <f>((130*W2)+(88.02*X2))/(130+88.02)</f>
        <v>-1.5180038528575366</v>
      </c>
      <c r="Z2" s="5">
        <f>((130*$U2)+(88.02*$V2))/(130+88.02)</f>
        <v>11.673218053389597</v>
      </c>
      <c r="AA2" s="5">
        <f>((130*(0.72+8.87*COS($S2*PI()/180)))+(88.02*(1.41+(13.34*COS($S2*PI()/180))+((17.1-13.34)*COS((($T2+$S2-90)*PI()/180))))))/(130+88.02)</f>
        <v>11.673218053389597</v>
      </c>
    </row>
    <row r="3" spans="1:27" x14ac:dyDescent="0.25">
      <c r="A3" t="s">
        <v>3</v>
      </c>
      <c r="B3">
        <v>0.5</v>
      </c>
      <c r="C3">
        <v>6.2</v>
      </c>
      <c r="D3">
        <v>42</v>
      </c>
      <c r="G3" s="1" t="s">
        <v>9</v>
      </c>
      <c r="H3">
        <f>((D8*B8)+(D9*B9))/(SUM(D8:D9))</f>
        <v>1.4147920927062032</v>
      </c>
      <c r="I3">
        <f>((D8*C8)+(D9*C9))/(SUM(D8:D9))</f>
        <v>17.107210633946831</v>
      </c>
      <c r="J3">
        <v>0</v>
      </c>
      <c r="K3">
        <v>10</v>
      </c>
      <c r="L3">
        <f t="shared" ref="L3:L66" si="0">0.723077+8.86562308*COS(J3*PI()/180)</f>
        <v>9.5887000800000006</v>
      </c>
      <c r="M3" s="2">
        <f t="shared" ref="M3:M66" si="1">1.414792+(13.34*COS(J3*PI()/180))+((17.1072106-13.34)*COS(((K3+J3-90)*PI()/180)))</f>
        <v>15.408961255577543</v>
      </c>
      <c r="N3">
        <f t="shared" ref="N3:N66" si="2">8.86562308*SIN(J3*PI()/180)</f>
        <v>0</v>
      </c>
      <c r="O3">
        <f t="shared" ref="O3:O66" si="3">(13.34*SIN(J3*PI()/180))+((17.1072106-13.34)*SIN((K3+J3-90)*PI()/180))</f>
        <v>-3.7099782061097706</v>
      </c>
      <c r="P3" s="4">
        <f t="shared" ref="P3:P66" si="4">((130*N3)+(88.02*O3))/(130+88.02)</f>
        <v>-1.4978088326840748</v>
      </c>
      <c r="Q3" s="4">
        <f t="shared" ref="Q3:Q66" si="5">((130*L3)+(88.02*M3))/(130+88.02)</f>
        <v>11.938481699458469</v>
      </c>
      <c r="S3">
        <v>0</v>
      </c>
      <c r="T3">
        <v>10</v>
      </c>
      <c r="U3" s="6">
        <f t="shared" ref="U3:U66" si="6">0.72+8.87*COS(S3*PI()/180)</f>
        <v>9.59</v>
      </c>
      <c r="V3" s="7">
        <f t="shared" ref="V3:V66" si="7">1.41+(13.34*COS(S3*PI()/180))+((17.1-13.34)*COS(((T3+S3-90)*PI()/180)))</f>
        <v>15.402917148027658</v>
      </c>
      <c r="W3" s="6">
        <f t="shared" ref="W3:W66" si="8">8.87*SIN(S3*PI()/180)</f>
        <v>0</v>
      </c>
      <c r="X3" s="6">
        <f t="shared" ref="X3:X66" si="9">(13.34*SIN(S3*PI()/180))+((17.1-13.34)*SIN((T3+S3-90)*PI()/180))</f>
        <v>-3.7028771513259038</v>
      </c>
      <c r="Y3" s="5">
        <f t="shared" ref="Y3:Y66" si="10">((130*W3)+(88.02*X3))/(130+88.02)</f>
        <v>-1.4949419633965051</v>
      </c>
      <c r="Z3" s="5">
        <f t="shared" ref="Z3:Z66" si="11">((130*U3)+(88.02*V3))/(130+88.02)</f>
        <v>11.936816656129688</v>
      </c>
    </row>
    <row r="4" spans="1:27" ht="17.25" customHeight="1" x14ac:dyDescent="0.25">
      <c r="A4" s="3" t="s">
        <v>4</v>
      </c>
      <c r="B4">
        <f>B3+0.5</f>
        <v>1</v>
      </c>
      <c r="C4">
        <v>10.227</v>
      </c>
      <c r="D4">
        <f>9+4</f>
        <v>13</v>
      </c>
      <c r="J4">
        <v>0</v>
      </c>
      <c r="K4">
        <v>20</v>
      </c>
      <c r="L4">
        <f t="shared" si="0"/>
        <v>9.5887000800000006</v>
      </c>
      <c r="M4" s="2">
        <f t="shared" si="1"/>
        <v>16.043253909349978</v>
      </c>
      <c r="N4">
        <f t="shared" si="2"/>
        <v>0</v>
      </c>
      <c r="O4">
        <f t="shared" si="3"/>
        <v>-3.5400200017664529</v>
      </c>
      <c r="P4" s="4">
        <f t="shared" si="4"/>
        <v>-1.4291925536899512</v>
      </c>
      <c r="Q4" s="4">
        <f t="shared" si="5"/>
        <v>12.19456113889086</v>
      </c>
      <c r="S4">
        <v>0</v>
      </c>
      <c r="T4">
        <v>20</v>
      </c>
      <c r="U4" s="6">
        <f t="shared" si="6"/>
        <v>9.59</v>
      </c>
      <c r="V4" s="7">
        <f t="shared" si="7"/>
        <v>16.035995738904514</v>
      </c>
      <c r="W4" s="6">
        <f t="shared" si="8"/>
        <v>0</v>
      </c>
      <c r="X4" s="6">
        <f t="shared" si="9"/>
        <v>-3.5332442541550169</v>
      </c>
      <c r="Y4" s="5">
        <f t="shared" si="10"/>
        <v>-1.4264570188548051</v>
      </c>
      <c r="Z4" s="5">
        <f t="shared" si="11"/>
        <v>12.19240594871285</v>
      </c>
    </row>
    <row r="5" spans="1:27" x14ac:dyDescent="0.25">
      <c r="A5" t="s">
        <v>5</v>
      </c>
      <c r="B5">
        <f>B4+0</f>
        <v>1</v>
      </c>
      <c r="C5">
        <v>12.12</v>
      </c>
      <c r="D5">
        <v>60</v>
      </c>
      <c r="E5" s="1" t="s">
        <v>19</v>
      </c>
      <c r="F5" s="1" t="s">
        <v>18</v>
      </c>
      <c r="J5">
        <v>0</v>
      </c>
      <c r="K5">
        <v>30</v>
      </c>
      <c r="L5">
        <f t="shared" si="0"/>
        <v>9.5887000800000006</v>
      </c>
      <c r="M5" s="2">
        <f t="shared" si="1"/>
        <v>16.638397300000001</v>
      </c>
      <c r="N5">
        <f t="shared" si="2"/>
        <v>0</v>
      </c>
      <c r="O5">
        <f t="shared" si="3"/>
        <v>-3.2625000810060159</v>
      </c>
      <c r="P5" s="4">
        <f t="shared" si="4"/>
        <v>-1.3171509821582861</v>
      </c>
      <c r="Q5" s="4">
        <f t="shared" si="5"/>
        <v>12.434835064425284</v>
      </c>
      <c r="S5">
        <v>0</v>
      </c>
      <c r="T5">
        <v>30</v>
      </c>
      <c r="U5" s="6">
        <f t="shared" si="6"/>
        <v>9.59</v>
      </c>
      <c r="V5" s="7">
        <f t="shared" si="7"/>
        <v>16.630000000000003</v>
      </c>
      <c r="W5" s="6">
        <f t="shared" si="8"/>
        <v>0</v>
      </c>
      <c r="X5" s="6">
        <f t="shared" si="9"/>
        <v>-3.2562555182294903</v>
      </c>
      <c r="Y5" s="5">
        <f t="shared" si="10"/>
        <v>-1.3146298996172818</v>
      </c>
      <c r="Z5" s="5">
        <f t="shared" si="11"/>
        <v>12.432219979818367</v>
      </c>
    </row>
    <row r="6" spans="1:27" x14ac:dyDescent="0.25">
      <c r="E6">
        <f>C5+1.22</f>
        <v>13.34</v>
      </c>
      <c r="F6">
        <f>SUM(D2:D5)</f>
        <v>130</v>
      </c>
      <c r="J6">
        <v>0</v>
      </c>
      <c r="K6">
        <v>40</v>
      </c>
      <c r="L6">
        <f t="shared" si="0"/>
        <v>9.5887000800000006</v>
      </c>
      <c r="M6" s="2">
        <f t="shared" si="1"/>
        <v>17.176308296759792</v>
      </c>
      <c r="N6">
        <f t="shared" si="2"/>
        <v>0</v>
      </c>
      <c r="O6">
        <f t="shared" si="3"/>
        <v>-2.8858507461889098</v>
      </c>
      <c r="P6" s="4">
        <f t="shared" si="4"/>
        <v>-1.1650884445442979</v>
      </c>
      <c r="Q6" s="4">
        <f t="shared" si="5"/>
        <v>12.652002874418848</v>
      </c>
      <c r="S6">
        <v>0</v>
      </c>
      <c r="T6">
        <v>40</v>
      </c>
      <c r="U6" s="6">
        <f t="shared" si="6"/>
        <v>9.59</v>
      </c>
      <c r="V6" s="7">
        <f t="shared" si="7"/>
        <v>17.16688141242139</v>
      </c>
      <c r="W6" s="6">
        <f t="shared" si="8"/>
        <v>0</v>
      </c>
      <c r="X6" s="6">
        <f t="shared" si="9"/>
        <v>-2.8803271061273583</v>
      </c>
      <c r="Y6" s="5">
        <f t="shared" si="10"/>
        <v>-1.1628584161147146</v>
      </c>
      <c r="Z6" s="5">
        <f t="shared" si="11"/>
        <v>12.648972121462851</v>
      </c>
    </row>
    <row r="7" spans="1:27" x14ac:dyDescent="0.25">
      <c r="J7">
        <v>0</v>
      </c>
      <c r="K7">
        <v>50</v>
      </c>
      <c r="L7">
        <f t="shared" si="0"/>
        <v>9.5887000800000006</v>
      </c>
      <c r="M7" s="2">
        <f t="shared" si="1"/>
        <v>17.640642746188909</v>
      </c>
      <c r="N7">
        <f t="shared" si="2"/>
        <v>0</v>
      </c>
      <c r="O7">
        <f t="shared" si="3"/>
        <v>-2.4215162967597923</v>
      </c>
      <c r="P7" s="4">
        <f t="shared" si="4"/>
        <v>-0.97762528410603133</v>
      </c>
      <c r="Q7" s="4">
        <f t="shared" si="5"/>
        <v>12.839466034857113</v>
      </c>
      <c r="S7">
        <v>0</v>
      </c>
      <c r="T7">
        <v>50</v>
      </c>
      <c r="U7" s="6">
        <f t="shared" si="6"/>
        <v>9.59</v>
      </c>
      <c r="V7" s="7">
        <f t="shared" si="7"/>
        <v>17.630327106127357</v>
      </c>
      <c r="W7" s="6">
        <f t="shared" si="8"/>
        <v>0</v>
      </c>
      <c r="X7" s="6">
        <f t="shared" si="9"/>
        <v>-2.4168814124213887</v>
      </c>
      <c r="Y7" s="5">
        <f t="shared" si="10"/>
        <v>-0.97575406807325304</v>
      </c>
      <c r="Z7" s="5">
        <f t="shared" si="11"/>
        <v>12.836076469504311</v>
      </c>
    </row>
    <row r="8" spans="1:27" x14ac:dyDescent="0.25">
      <c r="A8" t="s">
        <v>6</v>
      </c>
      <c r="B8">
        <f>B5</f>
        <v>1</v>
      </c>
      <c r="C8">
        <v>15.273</v>
      </c>
      <c r="D8">
        <v>15</v>
      </c>
      <c r="J8">
        <v>0</v>
      </c>
      <c r="K8">
        <v>60</v>
      </c>
      <c r="L8">
        <f t="shared" si="0"/>
        <v>9.5887000800000006</v>
      </c>
      <c r="M8" s="2">
        <f t="shared" si="1"/>
        <v>18.017292081006016</v>
      </c>
      <c r="N8">
        <f t="shared" si="2"/>
        <v>0</v>
      </c>
      <c r="O8">
        <f t="shared" si="3"/>
        <v>-1.883605299999999</v>
      </c>
      <c r="P8" s="4">
        <f t="shared" si="4"/>
        <v>-0.76045747411246634</v>
      </c>
      <c r="Q8" s="4">
        <f t="shared" si="5"/>
        <v>12.991528572471102</v>
      </c>
      <c r="S8">
        <v>0</v>
      </c>
      <c r="T8">
        <v>60</v>
      </c>
      <c r="U8" s="6">
        <f t="shared" si="6"/>
        <v>9.59</v>
      </c>
      <c r="V8" s="7">
        <f t="shared" si="7"/>
        <v>18.006255518229491</v>
      </c>
      <c r="W8" s="6">
        <f t="shared" si="8"/>
        <v>0</v>
      </c>
      <c r="X8" s="6">
        <f t="shared" si="9"/>
        <v>-1.8800000000000006</v>
      </c>
      <c r="Y8" s="5">
        <f t="shared" si="10"/>
        <v>-0.75900192642876829</v>
      </c>
      <c r="Z8" s="5">
        <f t="shared" si="11"/>
        <v>12.987847953006879</v>
      </c>
    </row>
    <row r="9" spans="1:27" x14ac:dyDescent="0.25">
      <c r="A9" t="s">
        <v>7</v>
      </c>
      <c r="B9">
        <v>1.5</v>
      </c>
      <c r="C9">
        <v>17.484000000000002</v>
      </c>
      <c r="D9">
        <v>73.02</v>
      </c>
      <c r="E9" s="1" t="s">
        <v>20</v>
      </c>
      <c r="F9" s="1" t="s">
        <v>18</v>
      </c>
      <c r="J9">
        <v>0</v>
      </c>
      <c r="K9">
        <v>70</v>
      </c>
      <c r="L9">
        <f t="shared" si="0"/>
        <v>9.5887000800000006</v>
      </c>
      <c r="M9" s="2">
        <f t="shared" si="1"/>
        <v>18.294812001766452</v>
      </c>
      <c r="N9">
        <f t="shared" si="2"/>
        <v>0</v>
      </c>
      <c r="O9">
        <f t="shared" si="3"/>
        <v>-1.2884619093499778</v>
      </c>
      <c r="P9" s="4">
        <f t="shared" si="4"/>
        <v>-0.5201835485780435</v>
      </c>
      <c r="Q9" s="4">
        <f t="shared" si="5"/>
        <v>13.103570144002767</v>
      </c>
      <c r="S9">
        <v>0</v>
      </c>
      <c r="T9">
        <v>70</v>
      </c>
      <c r="U9" s="6">
        <f t="shared" si="6"/>
        <v>9.59</v>
      </c>
      <c r="V9" s="7">
        <f t="shared" si="7"/>
        <v>18.283244254155019</v>
      </c>
      <c r="W9" s="6">
        <f t="shared" si="8"/>
        <v>0</v>
      </c>
      <c r="X9" s="6">
        <f t="shared" si="9"/>
        <v>-1.2859957389045149</v>
      </c>
      <c r="Y9" s="5">
        <f t="shared" si="10"/>
        <v>-0.51918789532325205</v>
      </c>
      <c r="Z9" s="5">
        <f t="shared" si="11"/>
        <v>13.099675072244404</v>
      </c>
    </row>
    <row r="10" spans="1:27" x14ac:dyDescent="0.25">
      <c r="E10">
        <f>C9</f>
        <v>17.484000000000002</v>
      </c>
      <c r="F10">
        <f>SUM(D8:D9)</f>
        <v>88.02</v>
      </c>
      <c r="J10">
        <v>0</v>
      </c>
      <c r="K10">
        <v>80</v>
      </c>
      <c r="L10">
        <f t="shared" si="0"/>
        <v>9.5887000800000006</v>
      </c>
      <c r="M10" s="2">
        <f t="shared" si="1"/>
        <v>18.464770206109769</v>
      </c>
      <c r="N10">
        <f t="shared" si="2"/>
        <v>0</v>
      </c>
      <c r="O10">
        <f t="shared" si="3"/>
        <v>-0.65416925557754291</v>
      </c>
      <c r="P10" s="4">
        <f t="shared" si="4"/>
        <v>-0.2641041091456533</v>
      </c>
      <c r="Q10" s="4">
        <f t="shared" si="5"/>
        <v>13.172186422996891</v>
      </c>
      <c r="S10">
        <v>0</v>
      </c>
      <c r="T10">
        <v>80</v>
      </c>
      <c r="U10" s="6">
        <f t="shared" si="6"/>
        <v>9.59</v>
      </c>
      <c r="V10" s="7">
        <f t="shared" si="7"/>
        <v>18.452877151325904</v>
      </c>
      <c r="W10" s="6">
        <f t="shared" si="8"/>
        <v>0</v>
      </c>
      <c r="X10" s="6">
        <f t="shared" si="9"/>
        <v>-0.65291714802765832</v>
      </c>
      <c r="Y10" s="5">
        <f t="shared" si="10"/>
        <v>-0.26359860274009028</v>
      </c>
      <c r="Z10" s="5">
        <f t="shared" si="11"/>
        <v>13.168160016786105</v>
      </c>
    </row>
    <row r="11" spans="1:27" x14ac:dyDescent="0.25">
      <c r="J11">
        <v>0</v>
      </c>
      <c r="K11">
        <v>90</v>
      </c>
      <c r="L11">
        <f t="shared" si="0"/>
        <v>9.5887000800000006</v>
      </c>
      <c r="M11" s="2">
        <f t="shared" si="1"/>
        <v>18.5220026</v>
      </c>
      <c r="N11">
        <f t="shared" si="2"/>
        <v>0</v>
      </c>
      <c r="O11">
        <f t="shared" si="3"/>
        <v>0</v>
      </c>
      <c r="P11" s="4">
        <f t="shared" si="4"/>
        <v>0</v>
      </c>
      <c r="Q11" s="4">
        <f t="shared" si="5"/>
        <v>13.195292538537752</v>
      </c>
      <c r="S11">
        <v>0</v>
      </c>
      <c r="T11">
        <v>90</v>
      </c>
      <c r="U11" s="6">
        <f t="shared" si="6"/>
        <v>9.59</v>
      </c>
      <c r="V11" s="7">
        <f t="shared" si="7"/>
        <v>18.510000000000002</v>
      </c>
      <c r="W11" s="6">
        <f t="shared" si="8"/>
        <v>0</v>
      </c>
      <c r="X11" s="6">
        <f t="shared" si="9"/>
        <v>0</v>
      </c>
      <c r="Y11" s="5">
        <f t="shared" si="10"/>
        <v>0</v>
      </c>
      <c r="Z11" s="5">
        <f t="shared" si="11"/>
        <v>13.191221906247135</v>
      </c>
    </row>
    <row r="12" spans="1:27" x14ac:dyDescent="0.25">
      <c r="J12">
        <v>0</v>
      </c>
      <c r="K12">
        <v>100</v>
      </c>
      <c r="L12">
        <f t="shared" si="0"/>
        <v>9.5887000800000006</v>
      </c>
      <c r="M12" s="2">
        <f t="shared" si="1"/>
        <v>18.464770206109769</v>
      </c>
      <c r="N12">
        <f t="shared" si="2"/>
        <v>0</v>
      </c>
      <c r="O12">
        <f t="shared" si="3"/>
        <v>0.65416925557754291</v>
      </c>
      <c r="P12" s="4">
        <f t="shared" si="4"/>
        <v>0.2641041091456533</v>
      </c>
      <c r="Q12" s="4">
        <f t="shared" si="5"/>
        <v>13.172186422996891</v>
      </c>
      <c r="S12">
        <v>0</v>
      </c>
      <c r="T12">
        <v>100</v>
      </c>
      <c r="U12" s="6">
        <f t="shared" si="6"/>
        <v>9.59</v>
      </c>
      <c r="V12" s="7">
        <f t="shared" si="7"/>
        <v>18.452877151325904</v>
      </c>
      <c r="W12" s="6">
        <f t="shared" si="8"/>
        <v>0</v>
      </c>
      <c r="X12" s="6">
        <f t="shared" si="9"/>
        <v>0.65291714802765832</v>
      </c>
      <c r="Y12" s="5">
        <f t="shared" si="10"/>
        <v>0.26359860274009028</v>
      </c>
      <c r="Z12" s="5">
        <f t="shared" si="11"/>
        <v>13.168160016786105</v>
      </c>
    </row>
    <row r="13" spans="1:27" x14ac:dyDescent="0.25">
      <c r="J13">
        <v>0</v>
      </c>
      <c r="K13">
        <v>110</v>
      </c>
      <c r="L13">
        <f t="shared" si="0"/>
        <v>9.5887000800000006</v>
      </c>
      <c r="M13" s="2">
        <f t="shared" si="1"/>
        <v>18.294812001766452</v>
      </c>
      <c r="N13">
        <f t="shared" si="2"/>
        <v>0</v>
      </c>
      <c r="O13">
        <f t="shared" si="3"/>
        <v>1.2884619093499778</v>
      </c>
      <c r="P13" s="4">
        <f t="shared" si="4"/>
        <v>0.5201835485780435</v>
      </c>
      <c r="Q13" s="4">
        <f t="shared" si="5"/>
        <v>13.103570144002767</v>
      </c>
      <c r="S13">
        <v>0</v>
      </c>
      <c r="T13">
        <v>110</v>
      </c>
      <c r="U13" s="6">
        <f t="shared" si="6"/>
        <v>9.59</v>
      </c>
      <c r="V13" s="7">
        <f t="shared" si="7"/>
        <v>18.283244254155019</v>
      </c>
      <c r="W13" s="6">
        <f t="shared" si="8"/>
        <v>0</v>
      </c>
      <c r="X13" s="6">
        <f t="shared" si="9"/>
        <v>1.2859957389045149</v>
      </c>
      <c r="Y13" s="5">
        <f t="shared" si="10"/>
        <v>0.51918789532325205</v>
      </c>
      <c r="Z13" s="5">
        <f t="shared" si="11"/>
        <v>13.099675072244404</v>
      </c>
    </row>
    <row r="14" spans="1:27" x14ac:dyDescent="0.25">
      <c r="J14">
        <v>0</v>
      </c>
      <c r="K14">
        <v>120</v>
      </c>
      <c r="L14">
        <f t="shared" si="0"/>
        <v>9.5887000800000006</v>
      </c>
      <c r="M14" s="2">
        <f t="shared" si="1"/>
        <v>18.017292081006016</v>
      </c>
      <c r="N14">
        <f t="shared" si="2"/>
        <v>0</v>
      </c>
      <c r="O14">
        <f t="shared" si="3"/>
        <v>1.883605299999999</v>
      </c>
      <c r="P14" s="4">
        <f t="shared" si="4"/>
        <v>0.76045747411246634</v>
      </c>
      <c r="Q14" s="4">
        <f t="shared" si="5"/>
        <v>12.991528572471102</v>
      </c>
      <c r="S14">
        <v>0</v>
      </c>
      <c r="T14">
        <v>120</v>
      </c>
      <c r="U14" s="6">
        <f t="shared" si="6"/>
        <v>9.59</v>
      </c>
      <c r="V14" s="7">
        <f t="shared" si="7"/>
        <v>18.006255518229491</v>
      </c>
      <c r="W14" s="6">
        <f t="shared" si="8"/>
        <v>0</v>
      </c>
      <c r="X14" s="6">
        <f t="shared" si="9"/>
        <v>1.8800000000000006</v>
      </c>
      <c r="Y14" s="5">
        <f t="shared" si="10"/>
        <v>0.75900192642876829</v>
      </c>
      <c r="Z14" s="5">
        <f t="shared" si="11"/>
        <v>12.987847953006879</v>
      </c>
    </row>
    <row r="15" spans="1:27" x14ac:dyDescent="0.25">
      <c r="G15">
        <f>((130*N2)+(88.02*O2))/(130+88.02)</f>
        <v>-1.5209149482249331</v>
      </c>
      <c r="J15">
        <v>0</v>
      </c>
      <c r="K15">
        <v>130</v>
      </c>
      <c r="L15">
        <f t="shared" si="0"/>
        <v>9.5887000800000006</v>
      </c>
      <c r="M15" s="2">
        <f t="shared" si="1"/>
        <v>17.640642746188909</v>
      </c>
      <c r="N15">
        <f t="shared" si="2"/>
        <v>0</v>
      </c>
      <c r="O15">
        <f t="shared" si="3"/>
        <v>2.4215162967597923</v>
      </c>
      <c r="P15" s="4">
        <f t="shared" si="4"/>
        <v>0.97762528410603133</v>
      </c>
      <c r="Q15" s="4">
        <f t="shared" si="5"/>
        <v>12.839466034857113</v>
      </c>
      <c r="S15">
        <v>0</v>
      </c>
      <c r="T15">
        <v>130</v>
      </c>
      <c r="U15" s="6">
        <f t="shared" si="6"/>
        <v>9.59</v>
      </c>
      <c r="V15" s="7">
        <f t="shared" si="7"/>
        <v>17.630327106127357</v>
      </c>
      <c r="W15" s="6">
        <f t="shared" si="8"/>
        <v>0</v>
      </c>
      <c r="X15" s="6">
        <f t="shared" si="9"/>
        <v>2.4168814124213887</v>
      </c>
      <c r="Y15" s="5">
        <f t="shared" si="10"/>
        <v>0.97575406807325304</v>
      </c>
      <c r="Z15" s="5">
        <f t="shared" si="11"/>
        <v>12.836076469504311</v>
      </c>
    </row>
    <row r="16" spans="1:27" x14ac:dyDescent="0.25">
      <c r="J16">
        <v>0</v>
      </c>
      <c r="K16">
        <v>140</v>
      </c>
      <c r="L16">
        <f t="shared" si="0"/>
        <v>9.5887000800000006</v>
      </c>
      <c r="M16" s="2">
        <f t="shared" si="1"/>
        <v>17.176308296759792</v>
      </c>
      <c r="N16">
        <f t="shared" si="2"/>
        <v>0</v>
      </c>
      <c r="O16">
        <f t="shared" si="3"/>
        <v>2.8858507461889098</v>
      </c>
      <c r="P16" s="4">
        <f t="shared" si="4"/>
        <v>1.1650884445442979</v>
      </c>
      <c r="Q16" s="4">
        <f t="shared" si="5"/>
        <v>12.652002874418848</v>
      </c>
      <c r="S16">
        <v>0</v>
      </c>
      <c r="T16">
        <v>140</v>
      </c>
      <c r="U16" s="6">
        <f t="shared" si="6"/>
        <v>9.59</v>
      </c>
      <c r="V16" s="7">
        <f t="shared" si="7"/>
        <v>17.16688141242139</v>
      </c>
      <c r="W16" s="6">
        <f t="shared" si="8"/>
        <v>0</v>
      </c>
      <c r="X16" s="6">
        <f t="shared" si="9"/>
        <v>2.8803271061273583</v>
      </c>
      <c r="Y16" s="5">
        <f t="shared" si="10"/>
        <v>1.1628584161147146</v>
      </c>
      <c r="Z16" s="5">
        <f t="shared" si="11"/>
        <v>12.648972121462851</v>
      </c>
    </row>
    <row r="17" spans="10:26" x14ac:dyDescent="0.25">
      <c r="J17">
        <v>0</v>
      </c>
      <c r="K17">
        <v>150</v>
      </c>
      <c r="L17">
        <f t="shared" si="0"/>
        <v>9.5887000800000006</v>
      </c>
      <c r="M17" s="2">
        <f t="shared" si="1"/>
        <v>16.638397300000001</v>
      </c>
      <c r="N17">
        <f t="shared" si="2"/>
        <v>0</v>
      </c>
      <c r="O17">
        <f t="shared" si="3"/>
        <v>3.2625000810060159</v>
      </c>
      <c r="P17" s="4">
        <f t="shared" si="4"/>
        <v>1.3171509821582861</v>
      </c>
      <c r="Q17" s="4">
        <f t="shared" si="5"/>
        <v>12.434835064425284</v>
      </c>
      <c r="S17">
        <v>0</v>
      </c>
      <c r="T17">
        <v>150</v>
      </c>
      <c r="U17" s="6">
        <f t="shared" si="6"/>
        <v>9.59</v>
      </c>
      <c r="V17" s="7">
        <f t="shared" si="7"/>
        <v>16.630000000000003</v>
      </c>
      <c r="W17" s="6">
        <f t="shared" si="8"/>
        <v>0</v>
      </c>
      <c r="X17" s="6">
        <f t="shared" si="9"/>
        <v>3.2562555182294903</v>
      </c>
      <c r="Y17" s="5">
        <f t="shared" si="10"/>
        <v>1.3146298996172818</v>
      </c>
      <c r="Z17" s="5">
        <f t="shared" si="11"/>
        <v>12.432219979818367</v>
      </c>
    </row>
    <row r="18" spans="10:26" x14ac:dyDescent="0.25">
      <c r="J18">
        <v>0</v>
      </c>
      <c r="K18">
        <v>160</v>
      </c>
      <c r="L18">
        <f t="shared" si="0"/>
        <v>9.5887000800000006</v>
      </c>
      <c r="M18" s="2">
        <f t="shared" si="1"/>
        <v>16.043253909349978</v>
      </c>
      <c r="N18">
        <f t="shared" si="2"/>
        <v>0</v>
      </c>
      <c r="O18">
        <f t="shared" si="3"/>
        <v>3.5400200017664529</v>
      </c>
      <c r="P18" s="4">
        <f t="shared" si="4"/>
        <v>1.4291925536899512</v>
      </c>
      <c r="Q18" s="4">
        <f t="shared" si="5"/>
        <v>12.19456113889086</v>
      </c>
      <c r="S18">
        <v>0</v>
      </c>
      <c r="T18">
        <v>160</v>
      </c>
      <c r="U18" s="6">
        <f t="shared" si="6"/>
        <v>9.59</v>
      </c>
      <c r="V18" s="7">
        <f t="shared" si="7"/>
        <v>16.035995738904514</v>
      </c>
      <c r="W18" s="6">
        <f t="shared" si="8"/>
        <v>0</v>
      </c>
      <c r="X18" s="6">
        <f t="shared" si="9"/>
        <v>3.5332442541550169</v>
      </c>
      <c r="Y18" s="5">
        <f t="shared" si="10"/>
        <v>1.4264570188548051</v>
      </c>
      <c r="Z18" s="5">
        <f t="shared" si="11"/>
        <v>12.19240594871285</v>
      </c>
    </row>
    <row r="19" spans="10:26" x14ac:dyDescent="0.25">
      <c r="J19">
        <v>0</v>
      </c>
      <c r="K19">
        <v>170</v>
      </c>
      <c r="L19">
        <f t="shared" si="0"/>
        <v>9.5887000800000006</v>
      </c>
      <c r="M19" s="2">
        <f t="shared" si="1"/>
        <v>15.408961255577543</v>
      </c>
      <c r="N19">
        <f t="shared" si="2"/>
        <v>0</v>
      </c>
      <c r="O19">
        <f t="shared" si="3"/>
        <v>3.7099782061097706</v>
      </c>
      <c r="P19" s="4">
        <f t="shared" si="4"/>
        <v>1.4978088326840748</v>
      </c>
      <c r="Q19" s="4">
        <f t="shared" si="5"/>
        <v>11.938481699458469</v>
      </c>
      <c r="S19">
        <v>0</v>
      </c>
      <c r="T19">
        <v>170</v>
      </c>
      <c r="U19" s="6">
        <f t="shared" si="6"/>
        <v>9.59</v>
      </c>
      <c r="V19" s="7">
        <f t="shared" si="7"/>
        <v>15.402917148027658</v>
      </c>
      <c r="W19" s="6">
        <f t="shared" si="8"/>
        <v>0</v>
      </c>
      <c r="X19" s="6">
        <f t="shared" si="9"/>
        <v>3.7028771513259038</v>
      </c>
      <c r="Y19" s="5">
        <f t="shared" si="10"/>
        <v>1.4949419633965051</v>
      </c>
      <c r="Z19" s="5">
        <f t="shared" si="11"/>
        <v>11.936816656129688</v>
      </c>
    </row>
    <row r="20" spans="10:26" x14ac:dyDescent="0.25">
      <c r="J20">
        <v>0</v>
      </c>
      <c r="K20">
        <v>180</v>
      </c>
      <c r="L20">
        <f t="shared" si="0"/>
        <v>9.5887000800000006</v>
      </c>
      <c r="M20" s="2">
        <f t="shared" si="1"/>
        <v>14.754792</v>
      </c>
      <c r="N20">
        <f t="shared" si="2"/>
        <v>0</v>
      </c>
      <c r="O20">
        <f t="shared" si="3"/>
        <v>3.7672105999999985</v>
      </c>
      <c r="P20" s="4">
        <f t="shared" si="4"/>
        <v>1.5209149482249331</v>
      </c>
      <c r="Q20" s="4">
        <f t="shared" si="5"/>
        <v>11.674377590312817</v>
      </c>
      <c r="S20">
        <v>0</v>
      </c>
      <c r="T20">
        <v>180</v>
      </c>
      <c r="U20" s="6">
        <f t="shared" si="6"/>
        <v>9.59</v>
      </c>
      <c r="V20" s="7">
        <f t="shared" si="7"/>
        <v>14.75</v>
      </c>
      <c r="W20" s="6">
        <f t="shared" si="8"/>
        <v>0</v>
      </c>
      <c r="X20" s="6">
        <f t="shared" si="9"/>
        <v>3.7600000000000016</v>
      </c>
      <c r="Y20" s="5">
        <f t="shared" si="10"/>
        <v>1.5180038528575366</v>
      </c>
      <c r="Z20" s="5">
        <f t="shared" si="11"/>
        <v>11.673218053389597</v>
      </c>
    </row>
    <row r="21" spans="10:26" x14ac:dyDescent="0.25">
      <c r="J21">
        <v>10</v>
      </c>
      <c r="K21">
        <v>0</v>
      </c>
      <c r="L21">
        <f t="shared" si="0"/>
        <v>9.4540113444679719</v>
      </c>
      <c r="M21" s="2">
        <f t="shared" si="1"/>
        <v>15.206296680760397</v>
      </c>
      <c r="N21">
        <f t="shared" si="2"/>
        <v>1.5394992917238781</v>
      </c>
      <c r="O21">
        <f t="shared" si="3"/>
        <v>-1.3935115160329201</v>
      </c>
      <c r="P21" s="4">
        <f t="shared" si="4"/>
        <v>0.35537117825376813</v>
      </c>
      <c r="Q21" s="4">
        <f t="shared" si="5"/>
        <v>11.776349457028561</v>
      </c>
      <c r="S21">
        <v>10</v>
      </c>
      <c r="T21">
        <v>0</v>
      </c>
      <c r="U21" s="6">
        <f t="shared" si="6"/>
        <v>9.4552447692182842</v>
      </c>
      <c r="V21" s="7">
        <f t="shared" si="7"/>
        <v>15.200252573210513</v>
      </c>
      <c r="W21" s="6">
        <f t="shared" si="8"/>
        <v>1.540259335905672</v>
      </c>
      <c r="X21" s="6">
        <f t="shared" si="9"/>
        <v>-1.3864104612490533</v>
      </c>
      <c r="Y21" s="5">
        <f t="shared" si="10"/>
        <v>0.35869124331985919</v>
      </c>
      <c r="Z21" s="5">
        <f t="shared" si="11"/>
        <v>11.7746447642068</v>
      </c>
    </row>
    <row r="22" spans="10:26" x14ac:dyDescent="0.25">
      <c r="J22">
        <v>10</v>
      </c>
      <c r="K22">
        <v>10</v>
      </c>
      <c r="L22">
        <f t="shared" si="0"/>
        <v>9.4540113444679719</v>
      </c>
      <c r="M22" s="2">
        <f t="shared" si="1"/>
        <v>15.840589334532833</v>
      </c>
      <c r="N22">
        <f t="shared" si="2"/>
        <v>1.5394992917238781</v>
      </c>
      <c r="O22">
        <f t="shared" si="3"/>
        <v>-1.2235533116896025</v>
      </c>
      <c r="P22" s="4">
        <f t="shared" si="4"/>
        <v>0.42398745724789172</v>
      </c>
      <c r="Q22" s="4">
        <f t="shared" si="5"/>
        <v>12.032428896460949</v>
      </c>
      <c r="S22">
        <v>10</v>
      </c>
      <c r="T22">
        <v>10</v>
      </c>
      <c r="U22" s="6">
        <f t="shared" si="6"/>
        <v>9.4552447692182842</v>
      </c>
      <c r="V22" s="7">
        <f t="shared" si="7"/>
        <v>15.833331164087371</v>
      </c>
      <c r="W22" s="6">
        <f t="shared" si="8"/>
        <v>1.540259335905672</v>
      </c>
      <c r="X22" s="6">
        <f t="shared" si="9"/>
        <v>-1.2167775640781664</v>
      </c>
      <c r="Y22" s="5">
        <f t="shared" si="10"/>
        <v>0.42717618786155936</v>
      </c>
      <c r="Z22" s="5">
        <f t="shared" si="11"/>
        <v>12.030234056789963</v>
      </c>
    </row>
    <row r="23" spans="10:26" x14ac:dyDescent="0.25">
      <c r="J23">
        <v>10</v>
      </c>
      <c r="K23">
        <v>20</v>
      </c>
      <c r="L23">
        <f t="shared" si="0"/>
        <v>9.4540113444679719</v>
      </c>
      <c r="M23" s="2">
        <f t="shared" si="1"/>
        <v>16.435732725182856</v>
      </c>
      <c r="N23">
        <f t="shared" si="2"/>
        <v>1.5394992917238781</v>
      </c>
      <c r="O23">
        <f t="shared" si="3"/>
        <v>-0.94603339092916539</v>
      </c>
      <c r="P23" s="4">
        <f t="shared" si="4"/>
        <v>0.53602902877955694</v>
      </c>
      <c r="Q23" s="4">
        <f t="shared" si="5"/>
        <v>12.272702821995374</v>
      </c>
      <c r="S23">
        <v>10</v>
      </c>
      <c r="T23">
        <v>20</v>
      </c>
      <c r="U23" s="6">
        <f t="shared" si="6"/>
        <v>9.4552447692182842</v>
      </c>
      <c r="V23" s="7">
        <f t="shared" si="7"/>
        <v>16.427335425182857</v>
      </c>
      <c r="W23" s="6">
        <f t="shared" si="8"/>
        <v>1.540259335905672</v>
      </c>
      <c r="X23" s="6">
        <f t="shared" si="9"/>
        <v>-0.93978882815263987</v>
      </c>
      <c r="Y23" s="5">
        <f t="shared" si="10"/>
        <v>0.53900330709908273</v>
      </c>
      <c r="Z23" s="5">
        <f t="shared" si="11"/>
        <v>12.270048087895479</v>
      </c>
    </row>
    <row r="24" spans="10:26" x14ac:dyDescent="0.25">
      <c r="J24">
        <v>10</v>
      </c>
      <c r="K24">
        <v>30</v>
      </c>
      <c r="L24">
        <f t="shared" si="0"/>
        <v>9.4540113444679719</v>
      </c>
      <c r="M24" s="2">
        <f t="shared" si="1"/>
        <v>16.973643721942647</v>
      </c>
      <c r="N24">
        <f t="shared" si="2"/>
        <v>1.5394992917238781</v>
      </c>
      <c r="O24">
        <f t="shared" si="3"/>
        <v>-0.56938405611205933</v>
      </c>
      <c r="P24" s="4">
        <f t="shared" si="4"/>
        <v>0.68809156639354507</v>
      </c>
      <c r="Q24" s="4">
        <f t="shared" si="5"/>
        <v>12.489870631988937</v>
      </c>
      <c r="S24">
        <v>10</v>
      </c>
      <c r="T24">
        <v>30</v>
      </c>
      <c r="U24" s="6">
        <f t="shared" si="6"/>
        <v>9.4552447692182842</v>
      </c>
      <c r="V24" s="7">
        <f t="shared" si="7"/>
        <v>16.964216837604244</v>
      </c>
      <c r="W24" s="6">
        <f t="shared" si="8"/>
        <v>1.540259335905672</v>
      </c>
      <c r="X24" s="6">
        <f t="shared" si="9"/>
        <v>-0.56386041605050785</v>
      </c>
      <c r="Y24" s="5">
        <f t="shared" si="10"/>
        <v>0.6907747906016497</v>
      </c>
      <c r="Z24" s="5">
        <f t="shared" si="11"/>
        <v>12.486800229539963</v>
      </c>
    </row>
    <row r="25" spans="10:26" x14ac:dyDescent="0.25">
      <c r="J25">
        <v>10</v>
      </c>
      <c r="K25">
        <v>40</v>
      </c>
      <c r="L25">
        <f t="shared" si="0"/>
        <v>9.4540113444679719</v>
      </c>
      <c r="M25" s="2">
        <f t="shared" si="1"/>
        <v>17.437978171371764</v>
      </c>
      <c r="N25">
        <f t="shared" si="2"/>
        <v>1.5394992917238781</v>
      </c>
      <c r="O25">
        <f t="shared" si="3"/>
        <v>-0.10504960668294183</v>
      </c>
      <c r="P25" s="4">
        <f t="shared" si="4"/>
        <v>0.8755547268318119</v>
      </c>
      <c r="Q25" s="4">
        <f t="shared" si="5"/>
        <v>12.677333792427206</v>
      </c>
      <c r="S25">
        <v>10</v>
      </c>
      <c r="T25">
        <v>40</v>
      </c>
      <c r="U25" s="6">
        <f t="shared" si="6"/>
        <v>9.4552447692182842</v>
      </c>
      <c r="V25" s="7">
        <f t="shared" si="7"/>
        <v>17.427662531310212</v>
      </c>
      <c r="W25" s="6">
        <f t="shared" si="8"/>
        <v>1.540259335905672</v>
      </c>
      <c r="X25" s="6">
        <f t="shared" si="9"/>
        <v>-0.10041472234453819</v>
      </c>
      <c r="Y25" s="5">
        <f t="shared" si="10"/>
        <v>0.87787913864311129</v>
      </c>
      <c r="Z25" s="5">
        <f t="shared" si="11"/>
        <v>12.673904577581423</v>
      </c>
    </row>
    <row r="26" spans="10:26" x14ac:dyDescent="0.25">
      <c r="J26">
        <v>10</v>
      </c>
      <c r="K26">
        <v>50</v>
      </c>
      <c r="L26">
        <f t="shared" si="0"/>
        <v>9.4540113444679719</v>
      </c>
      <c r="M26" s="2">
        <f t="shared" si="1"/>
        <v>17.81462750618887</v>
      </c>
      <c r="N26">
        <f t="shared" si="2"/>
        <v>1.5394992917238781</v>
      </c>
      <c r="O26">
        <f t="shared" si="3"/>
        <v>0.43286139007685143</v>
      </c>
      <c r="P26" s="4">
        <f t="shared" si="4"/>
        <v>1.0927225368253766</v>
      </c>
      <c r="Q26" s="4">
        <f t="shared" si="5"/>
        <v>12.829396330041192</v>
      </c>
      <c r="S26">
        <v>10</v>
      </c>
      <c r="T26">
        <v>50</v>
      </c>
      <c r="U26" s="6">
        <f t="shared" si="6"/>
        <v>9.4552447692182842</v>
      </c>
      <c r="V26" s="7">
        <f t="shared" si="7"/>
        <v>17.803590943412345</v>
      </c>
      <c r="W26" s="6">
        <f t="shared" si="8"/>
        <v>1.540259335905672</v>
      </c>
      <c r="X26" s="6">
        <f t="shared" si="9"/>
        <v>0.43646669007684991</v>
      </c>
      <c r="Y26" s="5">
        <f t="shared" si="10"/>
        <v>1.0946312802875962</v>
      </c>
      <c r="Z26" s="5">
        <f t="shared" si="11"/>
        <v>12.825676061083991</v>
      </c>
    </row>
    <row r="27" spans="10:26" x14ac:dyDescent="0.25">
      <c r="J27">
        <v>10</v>
      </c>
      <c r="K27">
        <v>60</v>
      </c>
      <c r="L27">
        <f t="shared" si="0"/>
        <v>9.4540113444679719</v>
      </c>
      <c r="M27" s="2">
        <f t="shared" si="1"/>
        <v>18.092147426949307</v>
      </c>
      <c r="N27">
        <f t="shared" si="2"/>
        <v>1.5394992917238781</v>
      </c>
      <c r="O27">
        <f t="shared" si="3"/>
        <v>1.0280047807268726</v>
      </c>
      <c r="P27" s="4">
        <f t="shared" si="4"/>
        <v>1.3329964623597994</v>
      </c>
      <c r="Q27" s="4">
        <f t="shared" si="5"/>
        <v>12.941437901572858</v>
      </c>
      <c r="S27">
        <v>10</v>
      </c>
      <c r="T27">
        <v>60</v>
      </c>
      <c r="U27" s="6">
        <f t="shared" si="6"/>
        <v>9.4552447692182842</v>
      </c>
      <c r="V27" s="7">
        <f t="shared" si="7"/>
        <v>18.080579679337873</v>
      </c>
      <c r="W27" s="6">
        <f t="shared" si="8"/>
        <v>1.540259335905672</v>
      </c>
      <c r="X27" s="6">
        <f t="shared" si="9"/>
        <v>1.0304709511723356</v>
      </c>
      <c r="Y27" s="5">
        <f t="shared" si="10"/>
        <v>1.3344453113931123</v>
      </c>
      <c r="Z27" s="5">
        <f t="shared" si="11"/>
        <v>12.937503180321515</v>
      </c>
    </row>
    <row r="28" spans="10:26" x14ac:dyDescent="0.25">
      <c r="J28">
        <v>10</v>
      </c>
      <c r="K28">
        <v>70</v>
      </c>
      <c r="L28">
        <f t="shared" si="0"/>
        <v>9.4540113444679719</v>
      </c>
      <c r="M28" s="2">
        <f t="shared" si="1"/>
        <v>18.262105631292627</v>
      </c>
      <c r="N28">
        <f t="shared" si="2"/>
        <v>1.5394992917238781</v>
      </c>
      <c r="O28">
        <f t="shared" si="3"/>
        <v>1.6622974344993076</v>
      </c>
      <c r="P28" s="4">
        <f t="shared" si="4"/>
        <v>1.5890759017921898</v>
      </c>
      <c r="Q28" s="4">
        <f t="shared" si="5"/>
        <v>13.010054180566982</v>
      </c>
      <c r="S28">
        <v>10</v>
      </c>
      <c r="T28">
        <v>70</v>
      </c>
      <c r="U28" s="6">
        <f t="shared" si="6"/>
        <v>9.4552447692182842</v>
      </c>
      <c r="V28" s="7">
        <f t="shared" si="7"/>
        <v>18.250212576508758</v>
      </c>
      <c r="W28" s="6">
        <f t="shared" si="8"/>
        <v>1.540259335905672</v>
      </c>
      <c r="X28" s="6">
        <f t="shared" si="9"/>
        <v>1.6635495420491921</v>
      </c>
      <c r="Y28" s="5">
        <f t="shared" si="10"/>
        <v>1.5900346039762741</v>
      </c>
      <c r="Z28" s="5">
        <f t="shared" si="11"/>
        <v>13.005988124863215</v>
      </c>
    </row>
    <row r="29" spans="10:26" x14ac:dyDescent="0.25">
      <c r="J29">
        <v>10</v>
      </c>
      <c r="K29">
        <v>80</v>
      </c>
      <c r="L29">
        <f t="shared" si="0"/>
        <v>9.4540113444679719</v>
      </c>
      <c r="M29" s="2">
        <f t="shared" si="1"/>
        <v>18.319338025182851</v>
      </c>
      <c r="N29">
        <f t="shared" si="2"/>
        <v>1.5394992917238781</v>
      </c>
      <c r="O29">
        <f t="shared" si="3"/>
        <v>2.3164666900768505</v>
      </c>
      <c r="P29" s="4">
        <f t="shared" si="4"/>
        <v>1.8531800109378431</v>
      </c>
      <c r="Q29" s="4">
        <f t="shared" si="5"/>
        <v>13.033160296107839</v>
      </c>
      <c r="S29">
        <v>10</v>
      </c>
      <c r="T29">
        <v>80</v>
      </c>
      <c r="U29" s="6">
        <f t="shared" si="6"/>
        <v>9.4552447692182842</v>
      </c>
      <c r="V29" s="7">
        <f t="shared" si="7"/>
        <v>18.307335425182856</v>
      </c>
      <c r="W29" s="6">
        <f t="shared" si="8"/>
        <v>1.540259335905672</v>
      </c>
      <c r="X29" s="6">
        <f t="shared" si="9"/>
        <v>2.3164666900768505</v>
      </c>
      <c r="Y29" s="5">
        <f t="shared" si="10"/>
        <v>1.8536332067163643</v>
      </c>
      <c r="Z29" s="5">
        <f t="shared" si="11"/>
        <v>13.029050014324246</v>
      </c>
    </row>
    <row r="30" spans="10:26" x14ac:dyDescent="0.25">
      <c r="J30">
        <v>10</v>
      </c>
      <c r="K30">
        <v>90</v>
      </c>
      <c r="L30">
        <f t="shared" si="0"/>
        <v>9.4540113444679719</v>
      </c>
      <c r="M30" s="2">
        <f t="shared" si="1"/>
        <v>18.262105631292627</v>
      </c>
      <c r="N30">
        <f t="shared" si="2"/>
        <v>1.5394992917238781</v>
      </c>
      <c r="O30">
        <f t="shared" si="3"/>
        <v>2.9706359456543936</v>
      </c>
      <c r="P30" s="4">
        <f t="shared" si="4"/>
        <v>2.1172841200834962</v>
      </c>
      <c r="Q30" s="4">
        <f t="shared" si="5"/>
        <v>13.010054180566982</v>
      </c>
      <c r="S30">
        <v>10</v>
      </c>
      <c r="T30">
        <v>90</v>
      </c>
      <c r="U30" s="6">
        <f t="shared" si="6"/>
        <v>9.4552447692182842</v>
      </c>
      <c r="V30" s="7">
        <f t="shared" si="7"/>
        <v>18.250212576508758</v>
      </c>
      <c r="W30" s="6">
        <f t="shared" si="8"/>
        <v>1.540259335905672</v>
      </c>
      <c r="X30" s="6">
        <f t="shared" si="9"/>
        <v>2.969383838104509</v>
      </c>
      <c r="Y30" s="5">
        <f t="shared" si="10"/>
        <v>2.1172318094564546</v>
      </c>
      <c r="Z30" s="5">
        <f t="shared" si="11"/>
        <v>13.005988124863215</v>
      </c>
    </row>
    <row r="31" spans="10:26" x14ac:dyDescent="0.25">
      <c r="J31">
        <v>10</v>
      </c>
      <c r="K31">
        <v>100</v>
      </c>
      <c r="L31">
        <f t="shared" si="0"/>
        <v>9.4540113444679719</v>
      </c>
      <c r="M31" s="2">
        <f t="shared" si="1"/>
        <v>18.092147426949307</v>
      </c>
      <c r="N31">
        <f t="shared" si="2"/>
        <v>1.5394992917238781</v>
      </c>
      <c r="O31">
        <f t="shared" si="3"/>
        <v>3.6049285994268283</v>
      </c>
      <c r="P31" s="4">
        <f t="shared" si="4"/>
        <v>2.3733635595158864</v>
      </c>
      <c r="Q31" s="4">
        <f t="shared" si="5"/>
        <v>12.941437901572858</v>
      </c>
      <c r="S31">
        <v>10</v>
      </c>
      <c r="T31">
        <v>100</v>
      </c>
      <c r="U31" s="6">
        <f t="shared" si="6"/>
        <v>9.4552447692182842</v>
      </c>
      <c r="V31" s="7">
        <f t="shared" si="7"/>
        <v>18.080579679337873</v>
      </c>
      <c r="W31" s="6">
        <f t="shared" si="8"/>
        <v>1.540259335905672</v>
      </c>
      <c r="X31" s="6">
        <f t="shared" si="9"/>
        <v>3.6024624289813652</v>
      </c>
      <c r="Y31" s="5">
        <f t="shared" si="10"/>
        <v>2.3728211020396164</v>
      </c>
      <c r="Z31" s="5">
        <f t="shared" si="11"/>
        <v>12.937503180321515</v>
      </c>
    </row>
    <row r="32" spans="10:26" x14ac:dyDescent="0.25">
      <c r="J32">
        <v>10</v>
      </c>
      <c r="K32">
        <v>110</v>
      </c>
      <c r="L32">
        <f t="shared" si="0"/>
        <v>9.4540113444679719</v>
      </c>
      <c r="M32" s="2">
        <f t="shared" si="1"/>
        <v>17.81462750618887</v>
      </c>
      <c r="N32">
        <f t="shared" si="2"/>
        <v>1.5394992917238781</v>
      </c>
      <c r="O32">
        <f t="shared" si="3"/>
        <v>4.2000719900768493</v>
      </c>
      <c r="P32" s="4">
        <f t="shared" si="4"/>
        <v>2.6136374850503095</v>
      </c>
      <c r="Q32" s="4">
        <f t="shared" si="5"/>
        <v>12.829396330041192</v>
      </c>
      <c r="S32">
        <v>10</v>
      </c>
      <c r="T32">
        <v>110</v>
      </c>
      <c r="U32" s="6">
        <f t="shared" si="6"/>
        <v>9.4552447692182842</v>
      </c>
      <c r="V32" s="7">
        <f t="shared" si="7"/>
        <v>17.803590943412345</v>
      </c>
      <c r="W32" s="6">
        <f t="shared" si="8"/>
        <v>1.540259335905672</v>
      </c>
      <c r="X32" s="6">
        <f t="shared" si="9"/>
        <v>4.1964666900768508</v>
      </c>
      <c r="Y32" s="5">
        <f t="shared" si="10"/>
        <v>2.6126351331451327</v>
      </c>
      <c r="Z32" s="5">
        <f t="shared" si="11"/>
        <v>12.825676061083991</v>
      </c>
    </row>
    <row r="33" spans="10:26" x14ac:dyDescent="0.25">
      <c r="J33">
        <v>10</v>
      </c>
      <c r="K33">
        <v>120</v>
      </c>
      <c r="L33">
        <f t="shared" si="0"/>
        <v>9.4540113444679719</v>
      </c>
      <c r="M33" s="2">
        <f t="shared" si="1"/>
        <v>17.437978171371764</v>
      </c>
      <c r="N33">
        <f t="shared" si="2"/>
        <v>1.5394992917238781</v>
      </c>
      <c r="O33">
        <f t="shared" si="3"/>
        <v>4.7379829868366432</v>
      </c>
      <c r="P33" s="4">
        <f t="shared" si="4"/>
        <v>2.8308052950438749</v>
      </c>
      <c r="Q33" s="4">
        <f t="shared" si="5"/>
        <v>12.677333792427206</v>
      </c>
      <c r="S33">
        <v>10</v>
      </c>
      <c r="T33">
        <v>120</v>
      </c>
      <c r="U33" s="6">
        <f t="shared" si="6"/>
        <v>9.4552447692182842</v>
      </c>
      <c r="V33" s="7">
        <f t="shared" si="7"/>
        <v>17.427662531310212</v>
      </c>
      <c r="W33" s="6">
        <f t="shared" si="8"/>
        <v>1.540259335905672</v>
      </c>
      <c r="X33" s="6">
        <f t="shared" si="9"/>
        <v>4.7333481024982387</v>
      </c>
      <c r="Y33" s="5">
        <f t="shared" si="10"/>
        <v>2.8293872747896174</v>
      </c>
      <c r="Z33" s="5">
        <f t="shared" si="11"/>
        <v>12.673904577581423</v>
      </c>
    </row>
    <row r="34" spans="10:26" x14ac:dyDescent="0.25">
      <c r="J34">
        <v>10</v>
      </c>
      <c r="K34">
        <v>130</v>
      </c>
      <c r="L34">
        <f t="shared" si="0"/>
        <v>9.4540113444679719</v>
      </c>
      <c r="M34" s="2">
        <f t="shared" si="1"/>
        <v>16.973643721942647</v>
      </c>
      <c r="N34">
        <f t="shared" si="2"/>
        <v>1.5394992917238781</v>
      </c>
      <c r="O34">
        <f t="shared" si="3"/>
        <v>5.2023174362657603</v>
      </c>
      <c r="P34" s="4">
        <f t="shared" si="4"/>
        <v>3.0182684554821408</v>
      </c>
      <c r="Q34" s="4">
        <f t="shared" si="5"/>
        <v>12.489870631988937</v>
      </c>
      <c r="S34">
        <v>10</v>
      </c>
      <c r="T34">
        <v>130</v>
      </c>
      <c r="U34" s="6">
        <f t="shared" si="6"/>
        <v>9.4552447692182842</v>
      </c>
      <c r="V34" s="7">
        <f t="shared" si="7"/>
        <v>16.964216837604244</v>
      </c>
      <c r="W34" s="6">
        <f t="shared" si="8"/>
        <v>1.540259335905672</v>
      </c>
      <c r="X34" s="6">
        <f t="shared" si="9"/>
        <v>5.1967937962042088</v>
      </c>
      <c r="Y34" s="5">
        <f t="shared" si="10"/>
        <v>3.016491622831079</v>
      </c>
      <c r="Z34" s="5">
        <f t="shared" si="11"/>
        <v>12.486800229539963</v>
      </c>
    </row>
    <row r="35" spans="10:26" x14ac:dyDescent="0.25">
      <c r="J35">
        <v>10</v>
      </c>
      <c r="K35">
        <v>140</v>
      </c>
      <c r="L35">
        <f t="shared" si="0"/>
        <v>9.4540113444679719</v>
      </c>
      <c r="M35" s="2">
        <f t="shared" si="1"/>
        <v>16.435732725182856</v>
      </c>
      <c r="N35">
        <f t="shared" si="2"/>
        <v>1.5394992917238781</v>
      </c>
      <c r="O35">
        <f t="shared" si="3"/>
        <v>5.5789667710828663</v>
      </c>
      <c r="P35" s="4">
        <f t="shared" si="4"/>
        <v>3.1703309930961292</v>
      </c>
      <c r="Q35" s="4">
        <f t="shared" si="5"/>
        <v>12.272702821995374</v>
      </c>
      <c r="S35">
        <v>10</v>
      </c>
      <c r="T35">
        <v>140</v>
      </c>
      <c r="U35" s="6">
        <f t="shared" si="6"/>
        <v>9.4552447692182842</v>
      </c>
      <c r="V35" s="7">
        <f t="shared" si="7"/>
        <v>16.427335425182857</v>
      </c>
      <c r="W35" s="6">
        <f t="shared" si="8"/>
        <v>1.540259335905672</v>
      </c>
      <c r="X35" s="6">
        <f t="shared" si="9"/>
        <v>5.5727222083063408</v>
      </c>
      <c r="Y35" s="5">
        <f t="shared" si="10"/>
        <v>3.1682631063336459</v>
      </c>
      <c r="Z35" s="5">
        <f t="shared" si="11"/>
        <v>12.270048087895479</v>
      </c>
    </row>
    <row r="36" spans="10:26" x14ac:dyDescent="0.25">
      <c r="J36">
        <v>10</v>
      </c>
      <c r="K36">
        <v>150</v>
      </c>
      <c r="L36">
        <f t="shared" si="0"/>
        <v>9.4540113444679719</v>
      </c>
      <c r="M36" s="2">
        <f t="shared" si="1"/>
        <v>15.840589334532833</v>
      </c>
      <c r="N36">
        <f t="shared" si="2"/>
        <v>1.5394992917238781</v>
      </c>
      <c r="O36">
        <f t="shared" si="3"/>
        <v>5.8564866918433029</v>
      </c>
      <c r="P36" s="4">
        <f t="shared" si="4"/>
        <v>3.2823725646277944</v>
      </c>
      <c r="Q36" s="4">
        <f t="shared" si="5"/>
        <v>12.032428896460949</v>
      </c>
      <c r="S36">
        <v>10</v>
      </c>
      <c r="T36">
        <v>150</v>
      </c>
      <c r="U36" s="6">
        <f t="shared" si="6"/>
        <v>9.4552447692182842</v>
      </c>
      <c r="V36" s="7">
        <f t="shared" si="7"/>
        <v>15.833331164087371</v>
      </c>
      <c r="W36" s="6">
        <f t="shared" si="8"/>
        <v>1.540259335905672</v>
      </c>
      <c r="X36" s="6">
        <f t="shared" si="9"/>
        <v>5.8497109442318678</v>
      </c>
      <c r="Y36" s="5">
        <f t="shared" si="10"/>
        <v>3.2800902255711697</v>
      </c>
      <c r="Z36" s="5">
        <f t="shared" si="11"/>
        <v>12.030234056789963</v>
      </c>
    </row>
    <row r="37" spans="10:26" x14ac:dyDescent="0.25">
      <c r="J37">
        <v>10</v>
      </c>
      <c r="K37">
        <v>160</v>
      </c>
      <c r="L37">
        <f t="shared" si="0"/>
        <v>9.4540113444679719</v>
      </c>
      <c r="M37" s="2">
        <f t="shared" si="1"/>
        <v>15.206296680760397</v>
      </c>
      <c r="N37">
        <f t="shared" si="2"/>
        <v>1.5394992917238781</v>
      </c>
      <c r="O37">
        <f t="shared" si="3"/>
        <v>6.0264448961866215</v>
      </c>
      <c r="P37" s="4">
        <f t="shared" si="4"/>
        <v>3.3509888436219182</v>
      </c>
      <c r="Q37" s="4">
        <f t="shared" si="5"/>
        <v>11.776349457028561</v>
      </c>
      <c r="S37">
        <v>10</v>
      </c>
      <c r="T37">
        <v>160</v>
      </c>
      <c r="U37" s="6">
        <f t="shared" si="6"/>
        <v>9.4552447692182842</v>
      </c>
      <c r="V37" s="7">
        <f t="shared" si="7"/>
        <v>15.200252573210513</v>
      </c>
      <c r="W37" s="6">
        <f t="shared" si="8"/>
        <v>1.540259335905672</v>
      </c>
      <c r="X37" s="6">
        <f t="shared" si="9"/>
        <v>6.0193438414027547</v>
      </c>
      <c r="Y37" s="5">
        <f t="shared" si="10"/>
        <v>3.3485751701128699</v>
      </c>
      <c r="Z37" s="5">
        <f t="shared" si="11"/>
        <v>11.7746447642068</v>
      </c>
    </row>
    <row r="38" spans="10:26" x14ac:dyDescent="0.25">
      <c r="J38">
        <v>10</v>
      </c>
      <c r="K38">
        <v>170</v>
      </c>
      <c r="L38">
        <f t="shared" si="0"/>
        <v>9.4540113444679719</v>
      </c>
      <c r="M38" s="2">
        <f t="shared" si="1"/>
        <v>14.552127425182855</v>
      </c>
      <c r="N38">
        <f t="shared" si="2"/>
        <v>1.5394992917238781</v>
      </c>
      <c r="O38">
        <f t="shared" si="3"/>
        <v>6.0836772900768494</v>
      </c>
      <c r="P38" s="4">
        <f t="shared" si="4"/>
        <v>3.3740949591627762</v>
      </c>
      <c r="Q38" s="4">
        <f t="shared" si="5"/>
        <v>11.512245347882907</v>
      </c>
      <c r="S38">
        <v>10</v>
      </c>
      <c r="T38">
        <v>170</v>
      </c>
      <c r="U38" s="6">
        <f t="shared" si="6"/>
        <v>9.4552447692182842</v>
      </c>
      <c r="V38" s="7">
        <f t="shared" si="7"/>
        <v>14.547335425182855</v>
      </c>
      <c r="W38" s="6">
        <f t="shared" si="8"/>
        <v>1.540259335905672</v>
      </c>
      <c r="X38" s="6">
        <f t="shared" si="9"/>
        <v>6.0764666900768525</v>
      </c>
      <c r="Y38" s="5">
        <f t="shared" si="10"/>
        <v>3.3716370595739011</v>
      </c>
      <c r="Z38" s="5">
        <f t="shared" si="11"/>
        <v>11.511046161466709</v>
      </c>
    </row>
    <row r="39" spans="10:26" x14ac:dyDescent="0.25">
      <c r="J39">
        <v>10</v>
      </c>
      <c r="K39">
        <v>180</v>
      </c>
      <c r="L39">
        <f t="shared" si="0"/>
        <v>9.4540113444679719</v>
      </c>
      <c r="M39" s="2">
        <f t="shared" si="1"/>
        <v>13.897958169605312</v>
      </c>
      <c r="N39">
        <f t="shared" si="2"/>
        <v>1.5394992917238781</v>
      </c>
      <c r="O39">
        <f t="shared" si="3"/>
        <v>6.0264448961866215</v>
      </c>
      <c r="P39" s="4">
        <f t="shared" si="4"/>
        <v>3.3509888436219182</v>
      </c>
      <c r="Q39" s="4">
        <f t="shared" si="5"/>
        <v>11.248141238737254</v>
      </c>
      <c r="S39">
        <v>10</v>
      </c>
      <c r="T39">
        <v>180</v>
      </c>
      <c r="U39" s="6">
        <f t="shared" si="6"/>
        <v>9.4552447692182842</v>
      </c>
      <c r="V39" s="7">
        <f t="shared" si="7"/>
        <v>13.894418277155197</v>
      </c>
      <c r="W39" s="6">
        <f t="shared" si="8"/>
        <v>1.540259335905672</v>
      </c>
      <c r="X39" s="6">
        <f t="shared" si="9"/>
        <v>6.0193438414027547</v>
      </c>
      <c r="Y39" s="5">
        <f t="shared" si="10"/>
        <v>3.3485751701128699</v>
      </c>
      <c r="Z39" s="5">
        <f t="shared" si="11"/>
        <v>11.247447558726618</v>
      </c>
    </row>
    <row r="40" spans="10:26" x14ac:dyDescent="0.25">
      <c r="J40">
        <v>20</v>
      </c>
      <c r="K40">
        <v>0</v>
      </c>
      <c r="L40">
        <f t="shared" si="0"/>
        <v>9.0540375869452383</v>
      </c>
      <c r="M40" s="2">
        <f t="shared" si="1"/>
        <v>15.238753470633997</v>
      </c>
      <c r="N40">
        <f t="shared" si="2"/>
        <v>3.0322216764929566</v>
      </c>
      <c r="O40">
        <f t="shared" si="3"/>
        <v>1.0225287101979674</v>
      </c>
      <c r="P40" s="4">
        <f t="shared" si="4"/>
        <v>2.2208595313077217</v>
      </c>
      <c r="Q40" s="4">
        <f t="shared" si="5"/>
        <v>11.550958475314584</v>
      </c>
      <c r="S40">
        <v>20</v>
      </c>
      <c r="T40">
        <v>0</v>
      </c>
      <c r="U40" s="6">
        <f t="shared" si="6"/>
        <v>9.0550735463710073</v>
      </c>
      <c r="V40" s="7">
        <f t="shared" si="7"/>
        <v>15.231495300188534</v>
      </c>
      <c r="W40" s="6">
        <f t="shared" si="8"/>
        <v>3.033718671298681</v>
      </c>
      <c r="X40" s="6">
        <f t="shared" si="9"/>
        <v>1.0293044578094035</v>
      </c>
      <c r="Y40" s="5">
        <f t="shared" si="10"/>
        <v>2.224487687575508</v>
      </c>
      <c r="Z40" s="5">
        <f t="shared" si="11"/>
        <v>11.54864589189444</v>
      </c>
    </row>
    <row r="41" spans="10:26" x14ac:dyDescent="0.25">
      <c r="J41">
        <v>20</v>
      </c>
      <c r="K41">
        <v>10</v>
      </c>
      <c r="L41">
        <f t="shared" si="0"/>
        <v>9.0540375869452383</v>
      </c>
      <c r="M41" s="2">
        <f t="shared" si="1"/>
        <v>15.833896861284018</v>
      </c>
      <c r="N41">
        <f t="shared" si="2"/>
        <v>3.0322216764929566</v>
      </c>
      <c r="O41">
        <f t="shared" si="3"/>
        <v>1.3000486309584045</v>
      </c>
      <c r="P41" s="4">
        <f t="shared" si="4"/>
        <v>2.3329011028393869</v>
      </c>
      <c r="Q41" s="4">
        <f t="shared" si="5"/>
        <v>11.791232400849006</v>
      </c>
      <c r="S41">
        <v>20</v>
      </c>
      <c r="T41">
        <v>10</v>
      </c>
      <c r="U41" s="6">
        <f t="shared" si="6"/>
        <v>9.0550735463710073</v>
      </c>
      <c r="V41" s="7">
        <f t="shared" si="7"/>
        <v>15.825499561284019</v>
      </c>
      <c r="W41" s="6">
        <f t="shared" si="8"/>
        <v>3.033718671298681</v>
      </c>
      <c r="X41" s="6">
        <f t="shared" si="9"/>
        <v>1.30629319373493</v>
      </c>
      <c r="Y41" s="5">
        <f t="shared" si="10"/>
        <v>2.3363148068130313</v>
      </c>
      <c r="Z41" s="5">
        <f t="shared" si="11"/>
        <v>11.788459922999955</v>
      </c>
    </row>
    <row r="42" spans="10:26" x14ac:dyDescent="0.25">
      <c r="J42">
        <v>20</v>
      </c>
      <c r="K42">
        <v>20</v>
      </c>
      <c r="L42">
        <f t="shared" si="0"/>
        <v>9.0540375869452383</v>
      </c>
      <c r="M42" s="2">
        <f t="shared" si="1"/>
        <v>16.371807858043812</v>
      </c>
      <c r="N42">
        <f t="shared" si="2"/>
        <v>3.0322216764929566</v>
      </c>
      <c r="O42">
        <f t="shared" si="3"/>
        <v>1.6766979657755106</v>
      </c>
      <c r="P42" s="4">
        <f t="shared" si="4"/>
        <v>2.4849636404533753</v>
      </c>
      <c r="Q42" s="4">
        <f t="shared" si="5"/>
        <v>12.008400210842574</v>
      </c>
      <c r="S42">
        <v>20</v>
      </c>
      <c r="T42">
        <v>20</v>
      </c>
      <c r="U42" s="6">
        <f t="shared" si="6"/>
        <v>9.0550735463710073</v>
      </c>
      <c r="V42" s="7">
        <f t="shared" si="7"/>
        <v>16.362380973705406</v>
      </c>
      <c r="W42" s="6">
        <f t="shared" si="8"/>
        <v>3.033718671298681</v>
      </c>
      <c r="X42" s="6">
        <f t="shared" si="9"/>
        <v>1.682221605837062</v>
      </c>
      <c r="Y42" s="5">
        <f t="shared" si="10"/>
        <v>2.4880862903155987</v>
      </c>
      <c r="Z42" s="5">
        <f t="shared" si="11"/>
        <v>12.005212064644439</v>
      </c>
    </row>
    <row r="43" spans="10:26" x14ac:dyDescent="0.25">
      <c r="J43">
        <v>20</v>
      </c>
      <c r="K43">
        <v>30</v>
      </c>
      <c r="L43">
        <f t="shared" si="0"/>
        <v>9.0540375869452383</v>
      </c>
      <c r="M43" s="2">
        <f t="shared" si="1"/>
        <v>16.83614230747293</v>
      </c>
      <c r="N43">
        <f t="shared" si="2"/>
        <v>3.0322216764929566</v>
      </c>
      <c r="O43">
        <f t="shared" si="3"/>
        <v>2.1410324152046281</v>
      </c>
      <c r="P43" s="4">
        <f t="shared" si="4"/>
        <v>2.6724268008916416</v>
      </c>
      <c r="Q43" s="4">
        <f t="shared" si="5"/>
        <v>12.195863371280838</v>
      </c>
      <c r="S43">
        <v>20</v>
      </c>
      <c r="T43">
        <v>30</v>
      </c>
      <c r="U43" s="6">
        <f t="shared" si="6"/>
        <v>9.0550735463710073</v>
      </c>
      <c r="V43" s="7">
        <f t="shared" si="7"/>
        <v>16.825826667411377</v>
      </c>
      <c r="W43" s="6">
        <f t="shared" si="8"/>
        <v>3.033718671298681</v>
      </c>
      <c r="X43" s="6">
        <f t="shared" si="9"/>
        <v>2.1456672995430317</v>
      </c>
      <c r="Y43" s="5">
        <f t="shared" si="10"/>
        <v>2.6751906383570598</v>
      </c>
      <c r="Z43" s="5">
        <f t="shared" si="11"/>
        <v>12.192316412685903</v>
      </c>
    </row>
    <row r="44" spans="10:26" x14ac:dyDescent="0.25">
      <c r="J44">
        <v>20</v>
      </c>
      <c r="K44">
        <v>40</v>
      </c>
      <c r="L44">
        <f t="shared" si="0"/>
        <v>9.0540375869452383</v>
      </c>
      <c r="M44" s="2">
        <f t="shared" si="1"/>
        <v>17.212791642290036</v>
      </c>
      <c r="N44">
        <f t="shared" si="2"/>
        <v>3.0322216764929566</v>
      </c>
      <c r="O44">
        <f t="shared" si="3"/>
        <v>2.6789434119644211</v>
      </c>
      <c r="P44" s="4">
        <f t="shared" si="4"/>
        <v>2.8895946108852066</v>
      </c>
      <c r="Q44" s="4">
        <f t="shared" si="5"/>
        <v>12.347925908894828</v>
      </c>
      <c r="S44">
        <v>20</v>
      </c>
      <c r="T44">
        <v>40</v>
      </c>
      <c r="U44" s="6">
        <f t="shared" si="6"/>
        <v>9.0550735463710073</v>
      </c>
      <c r="V44" s="7">
        <f t="shared" si="7"/>
        <v>17.201755079513511</v>
      </c>
      <c r="W44" s="6">
        <f t="shared" si="8"/>
        <v>3.033718671298681</v>
      </c>
      <c r="X44" s="6">
        <f t="shared" si="9"/>
        <v>2.6825487119644196</v>
      </c>
      <c r="Y44" s="5">
        <f t="shared" si="10"/>
        <v>2.8919427800015445</v>
      </c>
      <c r="Z44" s="5">
        <f t="shared" si="11"/>
        <v>12.344087896188469</v>
      </c>
    </row>
    <row r="45" spans="10:26" x14ac:dyDescent="0.25">
      <c r="J45">
        <v>20</v>
      </c>
      <c r="K45">
        <v>50</v>
      </c>
      <c r="L45">
        <f t="shared" si="0"/>
        <v>9.0540375869452383</v>
      </c>
      <c r="M45" s="2">
        <f t="shared" si="1"/>
        <v>17.490311563050472</v>
      </c>
      <c r="N45">
        <f t="shared" si="2"/>
        <v>3.0322216764929566</v>
      </c>
      <c r="O45">
        <f t="shared" si="3"/>
        <v>3.2740868026144425</v>
      </c>
      <c r="P45" s="4">
        <f t="shared" si="4"/>
        <v>3.1298685364196297</v>
      </c>
      <c r="Q45" s="4">
        <f t="shared" si="5"/>
        <v>12.45996748042649</v>
      </c>
      <c r="S45">
        <v>20</v>
      </c>
      <c r="T45">
        <v>50</v>
      </c>
      <c r="U45" s="6">
        <f t="shared" si="6"/>
        <v>9.0550735463710073</v>
      </c>
      <c r="V45" s="7">
        <f t="shared" si="7"/>
        <v>17.478743815439035</v>
      </c>
      <c r="W45" s="6">
        <f t="shared" si="8"/>
        <v>3.033718671298681</v>
      </c>
      <c r="X45" s="6">
        <f t="shared" si="9"/>
        <v>3.2765529730599052</v>
      </c>
      <c r="Y45" s="5">
        <f t="shared" si="10"/>
        <v>3.1317568111070608</v>
      </c>
      <c r="Z45" s="5">
        <f t="shared" si="11"/>
        <v>12.455915015425994</v>
      </c>
    </row>
    <row r="46" spans="10:26" x14ac:dyDescent="0.25">
      <c r="J46">
        <v>20</v>
      </c>
      <c r="K46">
        <v>60</v>
      </c>
      <c r="L46">
        <f t="shared" si="0"/>
        <v>9.0540375869452383</v>
      </c>
      <c r="M46" s="2">
        <f t="shared" si="1"/>
        <v>17.660269767393789</v>
      </c>
      <c r="N46">
        <f t="shared" si="2"/>
        <v>3.0322216764929566</v>
      </c>
      <c r="O46">
        <f t="shared" si="3"/>
        <v>3.9083794563868777</v>
      </c>
      <c r="P46" s="4">
        <f t="shared" si="4"/>
        <v>3.3859479758520199</v>
      </c>
      <c r="Q46" s="4">
        <f t="shared" si="5"/>
        <v>12.528583759420615</v>
      </c>
      <c r="S46">
        <v>20</v>
      </c>
      <c r="T46">
        <v>60</v>
      </c>
      <c r="U46" s="6">
        <f t="shared" si="6"/>
        <v>9.0550735463710073</v>
      </c>
      <c r="V46" s="7">
        <f t="shared" si="7"/>
        <v>17.648376712609924</v>
      </c>
      <c r="W46" s="6">
        <f t="shared" si="8"/>
        <v>3.033718671298681</v>
      </c>
      <c r="X46" s="6">
        <f t="shared" si="9"/>
        <v>3.9096315639367623</v>
      </c>
      <c r="Y46" s="5">
        <f t="shared" si="10"/>
        <v>3.3873461036902226</v>
      </c>
      <c r="Z46" s="5">
        <f t="shared" si="11"/>
        <v>12.524399959967694</v>
      </c>
    </row>
    <row r="47" spans="10:26" x14ac:dyDescent="0.25">
      <c r="J47">
        <v>20</v>
      </c>
      <c r="K47">
        <v>70</v>
      </c>
      <c r="L47">
        <f t="shared" si="0"/>
        <v>9.0540375869452383</v>
      </c>
      <c r="M47" s="2">
        <f t="shared" si="1"/>
        <v>17.717502161284017</v>
      </c>
      <c r="N47">
        <f t="shared" si="2"/>
        <v>3.0322216764929566</v>
      </c>
      <c r="O47">
        <f t="shared" si="3"/>
        <v>4.5625487119644204</v>
      </c>
      <c r="P47" s="4">
        <f t="shared" si="4"/>
        <v>3.6500520849976734</v>
      </c>
      <c r="Q47" s="4">
        <f t="shared" si="5"/>
        <v>12.551689874961474</v>
      </c>
      <c r="S47">
        <v>20</v>
      </c>
      <c r="T47">
        <v>70</v>
      </c>
      <c r="U47" s="6">
        <f t="shared" si="6"/>
        <v>9.0550735463710073</v>
      </c>
      <c r="V47" s="7">
        <f t="shared" si="7"/>
        <v>17.705499561284022</v>
      </c>
      <c r="W47" s="6">
        <f t="shared" si="8"/>
        <v>3.033718671298681</v>
      </c>
      <c r="X47" s="6">
        <f t="shared" si="9"/>
        <v>4.5625487119644204</v>
      </c>
      <c r="Y47" s="5">
        <f t="shared" si="10"/>
        <v>3.6509447064303129</v>
      </c>
      <c r="Z47" s="5">
        <f t="shared" si="11"/>
        <v>12.547461849428725</v>
      </c>
    </row>
    <row r="48" spans="10:26" x14ac:dyDescent="0.25">
      <c r="J48">
        <v>20</v>
      </c>
      <c r="K48">
        <v>80</v>
      </c>
      <c r="L48">
        <f t="shared" si="0"/>
        <v>9.0540375869452383</v>
      </c>
      <c r="M48" s="2">
        <f t="shared" si="1"/>
        <v>17.660269767393789</v>
      </c>
      <c r="N48">
        <f t="shared" si="2"/>
        <v>3.0322216764929566</v>
      </c>
      <c r="O48">
        <f t="shared" si="3"/>
        <v>5.216717967541963</v>
      </c>
      <c r="P48" s="4">
        <f t="shared" si="4"/>
        <v>3.9141561941433265</v>
      </c>
      <c r="Q48" s="4">
        <f t="shared" si="5"/>
        <v>12.528583759420615</v>
      </c>
      <c r="S48">
        <v>20</v>
      </c>
      <c r="T48">
        <v>80</v>
      </c>
      <c r="U48" s="6">
        <f t="shared" si="6"/>
        <v>9.0550735463710073</v>
      </c>
      <c r="V48" s="7">
        <f t="shared" si="7"/>
        <v>17.648376712609924</v>
      </c>
      <c r="W48" s="6">
        <f t="shared" si="8"/>
        <v>3.033718671298681</v>
      </c>
      <c r="X48" s="6">
        <f t="shared" si="9"/>
        <v>5.2154658599920785</v>
      </c>
      <c r="Y48" s="5">
        <f t="shared" si="10"/>
        <v>3.9145433091704032</v>
      </c>
      <c r="Z48" s="5">
        <f t="shared" si="11"/>
        <v>12.524399959967694</v>
      </c>
    </row>
    <row r="49" spans="10:26" x14ac:dyDescent="0.25">
      <c r="J49">
        <v>20</v>
      </c>
      <c r="K49">
        <v>90</v>
      </c>
      <c r="L49">
        <f t="shared" si="0"/>
        <v>9.0540375869452383</v>
      </c>
      <c r="M49" s="2">
        <f t="shared" si="1"/>
        <v>17.490311563050472</v>
      </c>
      <c r="N49">
        <f t="shared" si="2"/>
        <v>3.0322216764929566</v>
      </c>
      <c r="O49">
        <f t="shared" si="3"/>
        <v>5.8510106213143978</v>
      </c>
      <c r="P49" s="4">
        <f t="shared" si="4"/>
        <v>4.1702356335757162</v>
      </c>
      <c r="Q49" s="4">
        <f t="shared" si="5"/>
        <v>12.45996748042649</v>
      </c>
      <c r="S49">
        <v>20</v>
      </c>
      <c r="T49">
        <v>90</v>
      </c>
      <c r="U49" s="6">
        <f t="shared" si="6"/>
        <v>9.0550735463710073</v>
      </c>
      <c r="V49" s="7">
        <f t="shared" si="7"/>
        <v>17.478743815439035</v>
      </c>
      <c r="W49" s="6">
        <f t="shared" si="8"/>
        <v>3.033718671298681</v>
      </c>
      <c r="X49" s="6">
        <f t="shared" si="9"/>
        <v>5.8485444508689355</v>
      </c>
      <c r="Y49" s="5">
        <f t="shared" si="10"/>
        <v>4.1701326017535658</v>
      </c>
      <c r="Z49" s="5">
        <f t="shared" si="11"/>
        <v>12.455915015425994</v>
      </c>
    </row>
    <row r="50" spans="10:26" x14ac:dyDescent="0.25">
      <c r="J50">
        <v>20</v>
      </c>
      <c r="K50">
        <v>100</v>
      </c>
      <c r="L50">
        <f t="shared" si="0"/>
        <v>9.0540375869452383</v>
      </c>
      <c r="M50" s="2">
        <f t="shared" si="1"/>
        <v>17.212791642290036</v>
      </c>
      <c r="N50">
        <f t="shared" si="2"/>
        <v>3.0322216764929566</v>
      </c>
      <c r="O50">
        <f t="shared" si="3"/>
        <v>6.4461540119644196</v>
      </c>
      <c r="P50" s="4">
        <f t="shared" si="4"/>
        <v>4.4105095591101398</v>
      </c>
      <c r="Q50" s="4">
        <f t="shared" si="5"/>
        <v>12.347925908894828</v>
      </c>
      <c r="S50">
        <v>20</v>
      </c>
      <c r="T50">
        <v>100</v>
      </c>
      <c r="U50" s="6">
        <f t="shared" si="6"/>
        <v>9.0550735463710073</v>
      </c>
      <c r="V50" s="7">
        <f t="shared" si="7"/>
        <v>17.201755079513511</v>
      </c>
      <c r="W50" s="6">
        <f t="shared" si="8"/>
        <v>3.033718671298681</v>
      </c>
      <c r="X50" s="6">
        <f t="shared" si="9"/>
        <v>6.4425487119644211</v>
      </c>
      <c r="Y50" s="5">
        <f t="shared" si="10"/>
        <v>4.4099466328590813</v>
      </c>
      <c r="Z50" s="5">
        <f t="shared" si="11"/>
        <v>12.344087896188469</v>
      </c>
    </row>
    <row r="51" spans="10:26" x14ac:dyDescent="0.25">
      <c r="J51">
        <v>20</v>
      </c>
      <c r="K51">
        <v>110</v>
      </c>
      <c r="L51">
        <f t="shared" si="0"/>
        <v>9.0540375869452383</v>
      </c>
      <c r="M51" s="2">
        <f t="shared" si="1"/>
        <v>16.83614230747293</v>
      </c>
      <c r="N51">
        <f t="shared" si="2"/>
        <v>3.0322216764929566</v>
      </c>
      <c r="O51">
        <f t="shared" si="3"/>
        <v>6.9840650087242127</v>
      </c>
      <c r="P51" s="4">
        <f t="shared" si="4"/>
        <v>4.6276773691037043</v>
      </c>
      <c r="Q51" s="4">
        <f t="shared" si="5"/>
        <v>12.195863371280838</v>
      </c>
      <c r="S51">
        <v>20</v>
      </c>
      <c r="T51">
        <v>110</v>
      </c>
      <c r="U51" s="6">
        <f t="shared" si="6"/>
        <v>9.0550735463710073</v>
      </c>
      <c r="V51" s="7">
        <f t="shared" si="7"/>
        <v>16.825826667411377</v>
      </c>
      <c r="W51" s="6">
        <f t="shared" si="8"/>
        <v>3.033718671298681</v>
      </c>
      <c r="X51" s="6">
        <f t="shared" si="9"/>
        <v>6.979430124385809</v>
      </c>
      <c r="Y51" s="5">
        <f t="shared" si="10"/>
        <v>4.6266987745035664</v>
      </c>
      <c r="Z51" s="5">
        <f t="shared" si="11"/>
        <v>12.192316412685903</v>
      </c>
    </row>
    <row r="52" spans="10:26" x14ac:dyDescent="0.25">
      <c r="J52">
        <v>20</v>
      </c>
      <c r="K52">
        <v>120</v>
      </c>
      <c r="L52">
        <f t="shared" si="0"/>
        <v>9.0540375869452383</v>
      </c>
      <c r="M52" s="2">
        <f t="shared" si="1"/>
        <v>16.371807858043812</v>
      </c>
      <c r="N52">
        <f t="shared" si="2"/>
        <v>3.0322216764929566</v>
      </c>
      <c r="O52">
        <f t="shared" si="3"/>
        <v>7.4483994581533306</v>
      </c>
      <c r="P52" s="4">
        <f t="shared" si="4"/>
        <v>4.8151405295419707</v>
      </c>
      <c r="Q52" s="4">
        <f t="shared" si="5"/>
        <v>12.008400210842574</v>
      </c>
      <c r="S52">
        <v>20</v>
      </c>
      <c r="T52">
        <v>120</v>
      </c>
      <c r="U52" s="6">
        <f t="shared" si="6"/>
        <v>9.0550735463710073</v>
      </c>
      <c r="V52" s="7">
        <f t="shared" si="7"/>
        <v>16.362380973705406</v>
      </c>
      <c r="W52" s="6">
        <f t="shared" si="8"/>
        <v>3.033718671298681</v>
      </c>
      <c r="X52" s="6">
        <f t="shared" si="9"/>
        <v>7.4428758180917782</v>
      </c>
      <c r="Y52" s="5">
        <f t="shared" si="10"/>
        <v>4.8138031225450275</v>
      </c>
      <c r="Z52" s="5">
        <f t="shared" si="11"/>
        <v>12.005212064644439</v>
      </c>
    </row>
    <row r="53" spans="10:26" x14ac:dyDescent="0.25">
      <c r="J53">
        <v>20</v>
      </c>
      <c r="K53">
        <v>130</v>
      </c>
      <c r="L53">
        <f t="shared" si="0"/>
        <v>9.0540375869452383</v>
      </c>
      <c r="M53" s="2">
        <f t="shared" si="1"/>
        <v>15.833896861284018</v>
      </c>
      <c r="N53">
        <f t="shared" si="2"/>
        <v>3.0322216764929566</v>
      </c>
      <c r="O53">
        <f t="shared" si="3"/>
        <v>7.8250487929704367</v>
      </c>
      <c r="P53" s="4">
        <f t="shared" si="4"/>
        <v>4.9672030671559595</v>
      </c>
      <c r="Q53" s="4">
        <f t="shared" si="5"/>
        <v>11.791232400849006</v>
      </c>
      <c r="S53">
        <v>20</v>
      </c>
      <c r="T53">
        <v>130</v>
      </c>
      <c r="U53" s="6">
        <f t="shared" si="6"/>
        <v>9.0550735463710073</v>
      </c>
      <c r="V53" s="7">
        <f t="shared" si="7"/>
        <v>15.825499561284019</v>
      </c>
      <c r="W53" s="6">
        <f t="shared" si="8"/>
        <v>3.033718671298681</v>
      </c>
      <c r="X53" s="6">
        <f t="shared" si="9"/>
        <v>7.8188042301939102</v>
      </c>
      <c r="Y53" s="5">
        <f t="shared" si="10"/>
        <v>4.9655746060475954</v>
      </c>
      <c r="Z53" s="5">
        <f t="shared" si="11"/>
        <v>11.788459922999955</v>
      </c>
    </row>
    <row r="54" spans="10:26" x14ac:dyDescent="0.25">
      <c r="J54">
        <v>20</v>
      </c>
      <c r="K54">
        <v>140</v>
      </c>
      <c r="L54">
        <f t="shared" si="0"/>
        <v>9.0540375869452383</v>
      </c>
      <c r="M54" s="2">
        <f t="shared" si="1"/>
        <v>15.238753470633997</v>
      </c>
      <c r="N54">
        <f t="shared" si="2"/>
        <v>3.0322216764929566</v>
      </c>
      <c r="O54">
        <f t="shared" si="3"/>
        <v>8.1025687137308733</v>
      </c>
      <c r="P54" s="4">
        <f t="shared" si="4"/>
        <v>5.0792446386876255</v>
      </c>
      <c r="Q54" s="4">
        <f t="shared" si="5"/>
        <v>11.550958475314584</v>
      </c>
      <c r="S54">
        <v>20</v>
      </c>
      <c r="T54">
        <v>140</v>
      </c>
      <c r="U54" s="6">
        <f t="shared" si="6"/>
        <v>9.0550735463710073</v>
      </c>
      <c r="V54" s="7">
        <f t="shared" si="7"/>
        <v>15.231495300188534</v>
      </c>
      <c r="W54" s="6">
        <f t="shared" si="8"/>
        <v>3.033718671298681</v>
      </c>
      <c r="X54" s="6">
        <f t="shared" si="9"/>
        <v>8.0957929661194363</v>
      </c>
      <c r="Y54" s="5">
        <f t="shared" si="10"/>
        <v>5.0774017252851182</v>
      </c>
      <c r="Z54" s="5">
        <f t="shared" si="11"/>
        <v>11.54864589189444</v>
      </c>
    </row>
    <row r="55" spans="10:26" x14ac:dyDescent="0.25">
      <c r="J55">
        <v>20</v>
      </c>
      <c r="K55">
        <v>150</v>
      </c>
      <c r="L55">
        <f t="shared" si="0"/>
        <v>9.0540375869452383</v>
      </c>
      <c r="M55" s="2">
        <f t="shared" si="1"/>
        <v>14.604460816861561</v>
      </c>
      <c r="N55">
        <f t="shared" si="2"/>
        <v>3.0322216764929566</v>
      </c>
      <c r="O55">
        <f t="shared" si="3"/>
        <v>8.2725269180741918</v>
      </c>
      <c r="P55" s="4">
        <f t="shared" si="4"/>
        <v>5.1478609176817489</v>
      </c>
      <c r="Q55" s="4">
        <f t="shared" si="5"/>
        <v>11.294879035882193</v>
      </c>
      <c r="S55">
        <v>20</v>
      </c>
      <c r="T55">
        <v>150</v>
      </c>
      <c r="U55" s="6">
        <f t="shared" si="6"/>
        <v>9.0550735463710073</v>
      </c>
      <c r="V55" s="7">
        <f t="shared" si="7"/>
        <v>14.598416709311676</v>
      </c>
      <c r="W55" s="6">
        <f t="shared" si="8"/>
        <v>3.033718671298681</v>
      </c>
      <c r="X55" s="6">
        <f t="shared" si="9"/>
        <v>8.265425863290325</v>
      </c>
      <c r="Y55" s="5">
        <f t="shared" si="10"/>
        <v>5.1458866698268189</v>
      </c>
      <c r="Z55" s="5">
        <f t="shared" si="11"/>
        <v>11.293056599311278</v>
      </c>
    </row>
    <row r="56" spans="10:26" x14ac:dyDescent="0.25">
      <c r="J56">
        <v>20</v>
      </c>
      <c r="K56">
        <v>160</v>
      </c>
      <c r="L56">
        <f t="shared" si="0"/>
        <v>9.0540375869452383</v>
      </c>
      <c r="M56" s="2">
        <f t="shared" si="1"/>
        <v>13.950291561284018</v>
      </c>
      <c r="N56">
        <f t="shared" si="2"/>
        <v>3.0322216764929566</v>
      </c>
      <c r="O56">
        <f t="shared" si="3"/>
        <v>8.3297593119644198</v>
      </c>
      <c r="P56" s="4">
        <f t="shared" si="4"/>
        <v>5.170967033222607</v>
      </c>
      <c r="Q56" s="4">
        <f t="shared" si="5"/>
        <v>11.030774926736541</v>
      </c>
      <c r="S56">
        <v>20</v>
      </c>
      <c r="T56">
        <v>160</v>
      </c>
      <c r="U56" s="6">
        <f t="shared" si="6"/>
        <v>9.0550735463710073</v>
      </c>
      <c r="V56" s="7">
        <f t="shared" si="7"/>
        <v>13.945499561284018</v>
      </c>
      <c r="W56" s="6">
        <f t="shared" si="8"/>
        <v>3.033718671298681</v>
      </c>
      <c r="X56" s="6">
        <f t="shared" si="9"/>
        <v>8.3225487119644228</v>
      </c>
      <c r="Y56" s="5">
        <f t="shared" si="10"/>
        <v>5.168948559287851</v>
      </c>
      <c r="Z56" s="5">
        <f t="shared" si="11"/>
        <v>11.029457996571187</v>
      </c>
    </row>
    <row r="57" spans="10:26" x14ac:dyDescent="0.25">
      <c r="J57">
        <v>20</v>
      </c>
      <c r="K57">
        <v>170</v>
      </c>
      <c r="L57">
        <f t="shared" si="0"/>
        <v>9.0540375869452383</v>
      </c>
      <c r="M57" s="2">
        <f t="shared" si="1"/>
        <v>13.296122305706476</v>
      </c>
      <c r="N57">
        <f t="shared" si="2"/>
        <v>3.0322216764929566</v>
      </c>
      <c r="O57">
        <f t="shared" si="3"/>
        <v>8.2725269180741918</v>
      </c>
      <c r="P57" s="4">
        <f t="shared" si="4"/>
        <v>5.1478609176817489</v>
      </c>
      <c r="Q57" s="4">
        <f t="shared" si="5"/>
        <v>10.766670817590889</v>
      </c>
      <c r="S57">
        <v>20</v>
      </c>
      <c r="T57">
        <v>170</v>
      </c>
      <c r="U57" s="6">
        <f t="shared" si="6"/>
        <v>9.0550735463710073</v>
      </c>
      <c r="V57" s="7">
        <f t="shared" si="7"/>
        <v>13.29258241325636</v>
      </c>
      <c r="W57" s="6">
        <f t="shared" si="8"/>
        <v>3.033718671298681</v>
      </c>
      <c r="X57" s="6">
        <f t="shared" si="9"/>
        <v>8.265425863290325</v>
      </c>
      <c r="Y57" s="5">
        <f t="shared" si="10"/>
        <v>5.1458866698268189</v>
      </c>
      <c r="Z57" s="5">
        <f t="shared" si="11"/>
        <v>10.765859393831096</v>
      </c>
    </row>
    <row r="58" spans="10:26" x14ac:dyDescent="0.25">
      <c r="J58">
        <v>20</v>
      </c>
      <c r="K58">
        <v>180</v>
      </c>
      <c r="L58">
        <f t="shared" si="0"/>
        <v>9.0540375869452383</v>
      </c>
      <c r="M58" s="2">
        <f t="shared" si="1"/>
        <v>12.66182965193404</v>
      </c>
      <c r="N58">
        <f t="shared" si="2"/>
        <v>3.0322216764929566</v>
      </c>
      <c r="O58">
        <f t="shared" si="3"/>
        <v>8.1025687137308733</v>
      </c>
      <c r="P58" s="4">
        <f t="shared" si="4"/>
        <v>5.0792446386876255</v>
      </c>
      <c r="Q58" s="4">
        <f t="shared" si="5"/>
        <v>10.510591378158495</v>
      </c>
      <c r="S58">
        <v>20</v>
      </c>
      <c r="T58">
        <v>180</v>
      </c>
      <c r="U58" s="6">
        <f t="shared" si="6"/>
        <v>9.0550735463710073</v>
      </c>
      <c r="V58" s="7">
        <f t="shared" si="7"/>
        <v>12.659503822379504</v>
      </c>
      <c r="W58" s="6">
        <f t="shared" si="8"/>
        <v>3.033718671298681</v>
      </c>
      <c r="X58" s="6">
        <f t="shared" si="9"/>
        <v>8.0957929661194381</v>
      </c>
      <c r="Y58" s="5">
        <f t="shared" si="10"/>
        <v>5.0774017252851191</v>
      </c>
      <c r="Z58" s="5">
        <f t="shared" si="11"/>
        <v>10.510270101247936</v>
      </c>
    </row>
    <row r="59" spans="10:26" x14ac:dyDescent="0.25">
      <c r="J59">
        <v>30</v>
      </c>
      <c r="K59">
        <v>0</v>
      </c>
      <c r="L59">
        <f t="shared" si="0"/>
        <v>8.4009318076576385</v>
      </c>
      <c r="M59" s="2">
        <f t="shared" si="1"/>
        <v>14.851176186484413</v>
      </c>
      <c r="N59">
        <f t="shared" si="2"/>
        <v>4.4328115399999994</v>
      </c>
      <c r="O59">
        <f t="shared" si="3"/>
        <v>3.4074999189939832</v>
      </c>
      <c r="P59" s="4">
        <f t="shared" si="4"/>
        <v>4.0188681913120377</v>
      </c>
      <c r="Q59" s="4">
        <f t="shared" si="5"/>
        <v>11.005053036096925</v>
      </c>
      <c r="S59">
        <v>30</v>
      </c>
      <c r="T59">
        <v>0</v>
      </c>
      <c r="U59" s="6">
        <f t="shared" si="6"/>
        <v>8.4016453315679716</v>
      </c>
      <c r="V59" s="7">
        <f t="shared" si="7"/>
        <v>14.842778886484414</v>
      </c>
      <c r="W59" s="6">
        <f t="shared" si="8"/>
        <v>4.4349999999999987</v>
      </c>
      <c r="X59" s="6">
        <f t="shared" si="9"/>
        <v>3.4137444817705087</v>
      </c>
      <c r="Y59" s="5">
        <f t="shared" si="10"/>
        <v>4.0226941990892584</v>
      </c>
      <c r="Z59" s="5">
        <f t="shared" si="11"/>
        <v>11.002088297826779</v>
      </c>
    </row>
    <row r="60" spans="10:26" x14ac:dyDescent="0.25">
      <c r="J60">
        <v>30</v>
      </c>
      <c r="K60">
        <v>10</v>
      </c>
      <c r="L60">
        <f t="shared" si="0"/>
        <v>8.4009318076576385</v>
      </c>
      <c r="M60" s="2">
        <f t="shared" si="1"/>
        <v>15.389087183244206</v>
      </c>
      <c r="N60">
        <f t="shared" si="2"/>
        <v>4.4328115399999994</v>
      </c>
      <c r="O60">
        <f t="shared" si="3"/>
        <v>3.7841492538110892</v>
      </c>
      <c r="P60" s="4">
        <f t="shared" si="4"/>
        <v>4.1709307289260256</v>
      </c>
      <c r="Q60" s="4">
        <f t="shared" si="5"/>
        <v>11.222220846090488</v>
      </c>
      <c r="S60">
        <v>30</v>
      </c>
      <c r="T60">
        <v>10</v>
      </c>
      <c r="U60" s="6">
        <f t="shared" si="6"/>
        <v>8.4016453315679716</v>
      </c>
      <c r="V60" s="7">
        <f t="shared" si="7"/>
        <v>15.379660298905803</v>
      </c>
      <c r="W60" s="6">
        <f t="shared" si="8"/>
        <v>4.4349999999999987</v>
      </c>
      <c r="X60" s="6">
        <f t="shared" si="9"/>
        <v>3.7896728938726407</v>
      </c>
      <c r="Y60" s="5">
        <f t="shared" si="10"/>
        <v>4.1744656825918254</v>
      </c>
      <c r="Z60" s="5">
        <f t="shared" si="11"/>
        <v>11.218840439471265</v>
      </c>
    </row>
    <row r="61" spans="10:26" x14ac:dyDescent="0.25">
      <c r="J61">
        <v>30</v>
      </c>
      <c r="K61">
        <v>20</v>
      </c>
      <c r="L61">
        <f t="shared" si="0"/>
        <v>8.4009318076576385</v>
      </c>
      <c r="M61" s="2">
        <f t="shared" si="1"/>
        <v>15.853421632673323</v>
      </c>
      <c r="N61">
        <f t="shared" si="2"/>
        <v>4.4328115399999994</v>
      </c>
      <c r="O61">
        <f t="shared" si="3"/>
        <v>4.2484837032402067</v>
      </c>
      <c r="P61" s="4">
        <f t="shared" si="4"/>
        <v>4.358393889364292</v>
      </c>
      <c r="Q61" s="4">
        <f t="shared" si="5"/>
        <v>11.409684006528753</v>
      </c>
      <c r="S61">
        <v>30</v>
      </c>
      <c r="T61">
        <v>20</v>
      </c>
      <c r="U61" s="6">
        <f t="shared" si="6"/>
        <v>8.4016453315679716</v>
      </c>
      <c r="V61" s="7">
        <f t="shared" si="7"/>
        <v>15.843105992611772</v>
      </c>
      <c r="W61" s="6">
        <f t="shared" si="8"/>
        <v>4.4349999999999987</v>
      </c>
      <c r="X61" s="6">
        <f t="shared" si="9"/>
        <v>4.2531185875786104</v>
      </c>
      <c r="Y61" s="5">
        <f t="shared" si="10"/>
        <v>4.3615700306332865</v>
      </c>
      <c r="Z61" s="5">
        <f t="shared" si="11"/>
        <v>11.405944787512727</v>
      </c>
    </row>
    <row r="62" spans="10:26" x14ac:dyDescent="0.25">
      <c r="J62">
        <v>30</v>
      </c>
      <c r="K62">
        <v>30</v>
      </c>
      <c r="L62">
        <f t="shared" si="0"/>
        <v>8.4009318076576385</v>
      </c>
      <c r="M62" s="2">
        <f t="shared" si="1"/>
        <v>16.23007096749043</v>
      </c>
      <c r="N62">
        <f t="shared" si="2"/>
        <v>4.4328115399999994</v>
      </c>
      <c r="O62">
        <f t="shared" si="3"/>
        <v>4.7863946999999998</v>
      </c>
      <c r="P62" s="4">
        <f t="shared" si="4"/>
        <v>4.5755616993578565</v>
      </c>
      <c r="Q62" s="4">
        <f t="shared" si="5"/>
        <v>11.561746544142743</v>
      </c>
      <c r="S62">
        <v>30</v>
      </c>
      <c r="T62">
        <v>30</v>
      </c>
      <c r="U62" s="6">
        <f t="shared" si="6"/>
        <v>8.4016453315679716</v>
      </c>
      <c r="V62" s="7">
        <f t="shared" si="7"/>
        <v>16.219034404713902</v>
      </c>
      <c r="W62" s="6">
        <f t="shared" si="8"/>
        <v>4.4349999999999987</v>
      </c>
      <c r="X62" s="6">
        <f t="shared" si="9"/>
        <v>4.7899999999999983</v>
      </c>
      <c r="Y62" s="5">
        <f t="shared" si="10"/>
        <v>4.5783221722777716</v>
      </c>
      <c r="Z62" s="5">
        <f t="shared" si="11"/>
        <v>11.557716271015293</v>
      </c>
    </row>
    <row r="63" spans="10:26" x14ac:dyDescent="0.25">
      <c r="J63">
        <v>30</v>
      </c>
      <c r="K63">
        <v>40</v>
      </c>
      <c r="L63">
        <f t="shared" si="0"/>
        <v>8.4009318076576385</v>
      </c>
      <c r="M63" s="2">
        <f t="shared" si="1"/>
        <v>16.507590888250867</v>
      </c>
      <c r="N63">
        <f t="shared" si="2"/>
        <v>4.4328115399999994</v>
      </c>
      <c r="O63">
        <f t="shared" si="3"/>
        <v>5.3815380906500216</v>
      </c>
      <c r="P63" s="4">
        <f t="shared" si="4"/>
        <v>4.81583562489228</v>
      </c>
      <c r="Q63" s="4">
        <f t="shared" si="5"/>
        <v>11.673788115674409</v>
      </c>
      <c r="S63">
        <v>30</v>
      </c>
      <c r="T63">
        <v>40</v>
      </c>
      <c r="U63" s="6">
        <f t="shared" si="6"/>
        <v>8.4016453315679716</v>
      </c>
      <c r="V63" s="7">
        <f t="shared" si="7"/>
        <v>16.49602314063943</v>
      </c>
      <c r="W63" s="6">
        <f t="shared" si="8"/>
        <v>4.4349999999999987</v>
      </c>
      <c r="X63" s="6">
        <f t="shared" si="9"/>
        <v>5.3840042610954839</v>
      </c>
      <c r="Y63" s="5">
        <f t="shared" si="10"/>
        <v>4.818136203383288</v>
      </c>
      <c r="Z63" s="5">
        <f t="shared" si="11"/>
        <v>11.669543390252816</v>
      </c>
    </row>
    <row r="64" spans="10:26" x14ac:dyDescent="0.25">
      <c r="J64">
        <v>30</v>
      </c>
      <c r="K64">
        <v>50</v>
      </c>
      <c r="L64">
        <f t="shared" si="0"/>
        <v>8.4009318076576385</v>
      </c>
      <c r="M64" s="2">
        <f t="shared" si="1"/>
        <v>16.677549092594184</v>
      </c>
      <c r="N64">
        <f t="shared" si="2"/>
        <v>4.4328115399999994</v>
      </c>
      <c r="O64">
        <f t="shared" si="3"/>
        <v>6.0158307444224564</v>
      </c>
      <c r="P64" s="4">
        <f t="shared" si="4"/>
        <v>5.0719150643246707</v>
      </c>
      <c r="Q64" s="4">
        <f t="shared" si="5"/>
        <v>11.742404394668531</v>
      </c>
      <c r="S64">
        <v>30</v>
      </c>
      <c r="T64">
        <v>50</v>
      </c>
      <c r="U64" s="6">
        <f t="shared" si="6"/>
        <v>8.4016453315679716</v>
      </c>
      <c r="V64" s="7">
        <f t="shared" si="7"/>
        <v>16.665656037810315</v>
      </c>
      <c r="W64" s="6">
        <f t="shared" si="8"/>
        <v>4.4349999999999987</v>
      </c>
      <c r="X64" s="6">
        <f t="shared" si="9"/>
        <v>6.0170828519723409</v>
      </c>
      <c r="Y64" s="5">
        <f t="shared" si="10"/>
        <v>5.0737254959664506</v>
      </c>
      <c r="Z64" s="5">
        <f t="shared" si="11"/>
        <v>11.738028334794516</v>
      </c>
    </row>
    <row r="65" spans="10:26" x14ac:dyDescent="0.25">
      <c r="J65">
        <v>30</v>
      </c>
      <c r="K65">
        <v>60</v>
      </c>
      <c r="L65">
        <f t="shared" si="0"/>
        <v>8.4009318076576385</v>
      </c>
      <c r="M65" s="2">
        <f t="shared" si="1"/>
        <v>16.734781486484412</v>
      </c>
      <c r="N65">
        <f t="shared" si="2"/>
        <v>4.4328115399999994</v>
      </c>
      <c r="O65">
        <f t="shared" si="3"/>
        <v>6.669999999999999</v>
      </c>
      <c r="P65" s="4">
        <f t="shared" si="4"/>
        <v>5.3360191734703237</v>
      </c>
      <c r="Q65" s="4">
        <f t="shared" si="5"/>
        <v>11.76551051020939</v>
      </c>
      <c r="S65">
        <v>30</v>
      </c>
      <c r="T65">
        <v>60</v>
      </c>
      <c r="U65" s="6">
        <f t="shared" si="6"/>
        <v>8.4016453315679716</v>
      </c>
      <c r="V65" s="7">
        <f t="shared" si="7"/>
        <v>16.722778886484413</v>
      </c>
      <c r="W65" s="6">
        <f t="shared" si="8"/>
        <v>4.4349999999999987</v>
      </c>
      <c r="X65" s="6">
        <f t="shared" si="9"/>
        <v>6.669999999999999</v>
      </c>
      <c r="Y65" s="5">
        <f t="shared" si="10"/>
        <v>5.3373240987065396</v>
      </c>
      <c r="Z65" s="5">
        <f t="shared" si="11"/>
        <v>11.761090224255547</v>
      </c>
    </row>
    <row r="66" spans="10:26" x14ac:dyDescent="0.25">
      <c r="J66">
        <v>30</v>
      </c>
      <c r="K66">
        <v>70</v>
      </c>
      <c r="L66">
        <f t="shared" si="0"/>
        <v>8.4009318076576385</v>
      </c>
      <c r="M66" s="2">
        <f t="shared" si="1"/>
        <v>16.677549092594184</v>
      </c>
      <c r="N66">
        <f t="shared" si="2"/>
        <v>4.4328115399999994</v>
      </c>
      <c r="O66">
        <f t="shared" si="3"/>
        <v>7.3241692555775417</v>
      </c>
      <c r="P66" s="4">
        <f t="shared" si="4"/>
        <v>5.6001232826159759</v>
      </c>
      <c r="Q66" s="4">
        <f t="shared" si="5"/>
        <v>11.742404394668531</v>
      </c>
      <c r="S66">
        <v>30</v>
      </c>
      <c r="T66">
        <v>70</v>
      </c>
      <c r="U66" s="6">
        <f t="shared" si="6"/>
        <v>8.4016453315679716</v>
      </c>
      <c r="V66" s="7">
        <f t="shared" si="7"/>
        <v>16.665656037810315</v>
      </c>
      <c r="W66" s="6">
        <f t="shared" si="8"/>
        <v>4.4349999999999987</v>
      </c>
      <c r="X66" s="6">
        <f t="shared" si="9"/>
        <v>7.3229171480276571</v>
      </c>
      <c r="Y66" s="5">
        <f t="shared" si="10"/>
        <v>5.6009227014466303</v>
      </c>
      <c r="Z66" s="5">
        <f t="shared" si="11"/>
        <v>11.738028334794516</v>
      </c>
    </row>
    <row r="67" spans="10:26" x14ac:dyDescent="0.25">
      <c r="J67">
        <v>30</v>
      </c>
      <c r="K67">
        <v>80</v>
      </c>
      <c r="L67">
        <f t="shared" ref="L67:L130" si="12">0.723077+8.86562308*COS(J67*PI()/180)</f>
        <v>8.4009318076576385</v>
      </c>
      <c r="M67" s="2">
        <f t="shared" ref="M67:M130" si="13">1.414792+(13.34*COS(J67*PI()/180))+((17.1072106-13.34)*COS(((K67+J67-90)*PI()/180)))</f>
        <v>16.507590888250867</v>
      </c>
      <c r="N67">
        <f t="shared" ref="N67:N130" si="14">8.86562308*SIN(J67*PI()/180)</f>
        <v>4.4328115399999994</v>
      </c>
      <c r="O67">
        <f t="shared" ref="O67:O130" si="15">(13.34*SIN(J67*PI()/180))+((17.1072106-13.34)*SIN((K67+J67-90)*PI()/180))</f>
        <v>7.9584619093499764</v>
      </c>
      <c r="P67" s="4">
        <f t="shared" ref="P67:P130" si="16">((130*N67)+(88.02*O67))/(130+88.02)</f>
        <v>5.8562027220483674</v>
      </c>
      <c r="Q67" s="4">
        <f t="shared" ref="Q67:Q130" si="17">((130*L67)+(88.02*M67))/(130+88.02)</f>
        <v>11.673788115674409</v>
      </c>
      <c r="S67">
        <v>30</v>
      </c>
      <c r="T67">
        <v>80</v>
      </c>
      <c r="U67" s="6">
        <f t="shared" ref="U67:U130" si="18">0.72+8.87*COS(S67*PI()/180)</f>
        <v>8.4016453315679716</v>
      </c>
      <c r="V67" s="7">
        <f t="shared" ref="V67:V130" si="19">1.41+(13.34*COS(S67*PI()/180))+((17.1-13.34)*COS(((T67+S67-90)*PI()/180)))</f>
        <v>16.49602314063943</v>
      </c>
      <c r="W67" s="6">
        <f t="shared" ref="W67:W130" si="20">8.87*SIN(S67*PI()/180)</f>
        <v>4.4349999999999987</v>
      </c>
      <c r="X67" s="6">
        <f t="shared" ref="X67:X130" si="21">(13.34*SIN(S67*PI()/180))+((17.1-13.34)*SIN((T67+S67-90)*PI()/180))</f>
        <v>7.9559957389045142</v>
      </c>
      <c r="Y67" s="5">
        <f t="shared" ref="Y67:Y130" si="22">((130*W67)+(88.02*X67))/(130+88.02)</f>
        <v>5.8565119940297912</v>
      </c>
      <c r="Z67" s="5">
        <f t="shared" ref="Z67:Z130" si="23">((130*U67)+(88.02*V67))/(130+88.02)</f>
        <v>11.669543390252816</v>
      </c>
    </row>
    <row r="68" spans="10:26" x14ac:dyDescent="0.25">
      <c r="J68">
        <v>30</v>
      </c>
      <c r="K68">
        <v>90</v>
      </c>
      <c r="L68">
        <f t="shared" si="12"/>
        <v>8.4009318076576385</v>
      </c>
      <c r="M68" s="2">
        <f t="shared" si="13"/>
        <v>16.23007096749043</v>
      </c>
      <c r="N68">
        <f t="shared" si="14"/>
        <v>4.4328115399999994</v>
      </c>
      <c r="O68">
        <f t="shared" si="15"/>
        <v>8.5536052999999974</v>
      </c>
      <c r="P68" s="4">
        <f t="shared" si="16"/>
        <v>6.0964766475827892</v>
      </c>
      <c r="Q68" s="4">
        <f t="shared" si="17"/>
        <v>11.561746544142743</v>
      </c>
      <c r="S68">
        <v>30</v>
      </c>
      <c r="T68">
        <v>90</v>
      </c>
      <c r="U68" s="6">
        <f t="shared" si="18"/>
        <v>8.4016453315679716</v>
      </c>
      <c r="V68" s="7">
        <f t="shared" si="19"/>
        <v>16.219034404713902</v>
      </c>
      <c r="W68" s="6">
        <f t="shared" si="20"/>
        <v>4.4349999999999987</v>
      </c>
      <c r="X68" s="6">
        <f t="shared" si="21"/>
        <v>8.5499999999999989</v>
      </c>
      <c r="Y68" s="5">
        <f t="shared" si="22"/>
        <v>6.0963260251353075</v>
      </c>
      <c r="Z68" s="5">
        <f t="shared" si="23"/>
        <v>11.557716271015293</v>
      </c>
    </row>
    <row r="69" spans="10:26" x14ac:dyDescent="0.25">
      <c r="J69">
        <v>30</v>
      </c>
      <c r="K69">
        <v>100</v>
      </c>
      <c r="L69">
        <f t="shared" si="12"/>
        <v>8.4009318076576385</v>
      </c>
      <c r="M69" s="2">
        <f t="shared" si="13"/>
        <v>15.853421632673323</v>
      </c>
      <c r="N69">
        <f t="shared" si="14"/>
        <v>4.4328115399999994</v>
      </c>
      <c r="O69">
        <f t="shared" si="15"/>
        <v>9.0915162967597922</v>
      </c>
      <c r="P69" s="4">
        <f t="shared" si="16"/>
        <v>6.3136444575763546</v>
      </c>
      <c r="Q69" s="4">
        <f t="shared" si="17"/>
        <v>11.409684006528753</v>
      </c>
      <c r="S69">
        <v>30</v>
      </c>
      <c r="T69">
        <v>100</v>
      </c>
      <c r="U69" s="6">
        <f t="shared" si="18"/>
        <v>8.4016453315679716</v>
      </c>
      <c r="V69" s="7">
        <f t="shared" si="19"/>
        <v>15.843105992611772</v>
      </c>
      <c r="W69" s="6">
        <f t="shared" si="20"/>
        <v>4.4349999999999987</v>
      </c>
      <c r="X69" s="6">
        <f t="shared" si="21"/>
        <v>9.0868814124213877</v>
      </c>
      <c r="Y69" s="5">
        <f t="shared" si="22"/>
        <v>6.3130781667797935</v>
      </c>
      <c r="Z69" s="5">
        <f t="shared" si="23"/>
        <v>11.405944787512727</v>
      </c>
    </row>
    <row r="70" spans="10:26" x14ac:dyDescent="0.25">
      <c r="J70">
        <v>30</v>
      </c>
      <c r="K70">
        <v>110</v>
      </c>
      <c r="L70">
        <f t="shared" si="12"/>
        <v>8.4009318076576385</v>
      </c>
      <c r="M70" s="2">
        <f t="shared" si="13"/>
        <v>15.389087183244206</v>
      </c>
      <c r="N70">
        <f t="shared" si="14"/>
        <v>4.4328115399999994</v>
      </c>
      <c r="O70">
        <f t="shared" si="15"/>
        <v>9.5558507461889093</v>
      </c>
      <c r="P70" s="4">
        <f t="shared" si="16"/>
        <v>6.5011076180146219</v>
      </c>
      <c r="Q70" s="4">
        <f t="shared" si="17"/>
        <v>11.222220846090488</v>
      </c>
      <c r="S70">
        <v>30</v>
      </c>
      <c r="T70">
        <v>110</v>
      </c>
      <c r="U70" s="6">
        <f t="shared" si="18"/>
        <v>8.4016453315679716</v>
      </c>
      <c r="V70" s="7">
        <f t="shared" si="19"/>
        <v>15.379660298905803</v>
      </c>
      <c r="W70" s="6">
        <f t="shared" si="20"/>
        <v>4.4349999999999987</v>
      </c>
      <c r="X70" s="6">
        <f t="shared" si="21"/>
        <v>9.5503271061273569</v>
      </c>
      <c r="Y70" s="5">
        <f t="shared" si="22"/>
        <v>6.5001825148212546</v>
      </c>
      <c r="Z70" s="5">
        <f t="shared" si="23"/>
        <v>11.218840439471265</v>
      </c>
    </row>
    <row r="71" spans="10:26" x14ac:dyDescent="0.25">
      <c r="J71">
        <v>30</v>
      </c>
      <c r="K71">
        <v>120</v>
      </c>
      <c r="L71">
        <f t="shared" si="12"/>
        <v>8.4009318076576385</v>
      </c>
      <c r="M71" s="2">
        <f t="shared" si="13"/>
        <v>14.851176186484413</v>
      </c>
      <c r="N71">
        <f t="shared" si="14"/>
        <v>4.4328115399999994</v>
      </c>
      <c r="O71">
        <f t="shared" si="15"/>
        <v>9.9325000810060153</v>
      </c>
      <c r="P71" s="4">
        <f t="shared" si="16"/>
        <v>6.6531701556286098</v>
      </c>
      <c r="Q71" s="4">
        <f t="shared" si="17"/>
        <v>11.005053036096925</v>
      </c>
      <c r="S71">
        <v>30</v>
      </c>
      <c r="T71">
        <v>120</v>
      </c>
      <c r="U71" s="6">
        <f t="shared" si="18"/>
        <v>8.4016453315679716</v>
      </c>
      <c r="V71" s="7">
        <f t="shared" si="19"/>
        <v>14.842778886484414</v>
      </c>
      <c r="W71" s="6">
        <f t="shared" si="20"/>
        <v>4.4349999999999987</v>
      </c>
      <c r="X71" s="6">
        <f t="shared" si="21"/>
        <v>9.9262555182294889</v>
      </c>
      <c r="Y71" s="5">
        <f t="shared" si="22"/>
        <v>6.6519539983238207</v>
      </c>
      <c r="Z71" s="5">
        <f t="shared" si="23"/>
        <v>11.002088297826779</v>
      </c>
    </row>
    <row r="72" spans="10:26" x14ac:dyDescent="0.25">
      <c r="J72">
        <v>30</v>
      </c>
      <c r="K72">
        <v>130</v>
      </c>
      <c r="L72">
        <f t="shared" si="12"/>
        <v>8.4009318076576385</v>
      </c>
      <c r="M72" s="2">
        <f t="shared" si="13"/>
        <v>14.256032795834392</v>
      </c>
      <c r="N72">
        <f t="shared" si="14"/>
        <v>4.4328115399999994</v>
      </c>
      <c r="O72">
        <f t="shared" si="15"/>
        <v>10.210020001766452</v>
      </c>
      <c r="P72" s="4">
        <f t="shared" si="16"/>
        <v>6.7652117271602741</v>
      </c>
      <c r="Q72" s="4">
        <f t="shared" si="17"/>
        <v>10.7647791105625</v>
      </c>
      <c r="S72">
        <v>30</v>
      </c>
      <c r="T72">
        <v>130</v>
      </c>
      <c r="U72" s="6">
        <f t="shared" si="18"/>
        <v>8.4016453315679716</v>
      </c>
      <c r="V72" s="7">
        <f t="shared" si="19"/>
        <v>14.248774625388929</v>
      </c>
      <c r="W72" s="6">
        <f t="shared" si="20"/>
        <v>4.4349999999999987</v>
      </c>
      <c r="X72" s="6">
        <f t="shared" si="21"/>
        <v>10.203244254155017</v>
      </c>
      <c r="Y72" s="5">
        <f t="shared" si="22"/>
        <v>6.7637811175613445</v>
      </c>
      <c r="Z72" s="5">
        <f t="shared" si="23"/>
        <v>10.762274266721263</v>
      </c>
    </row>
    <row r="73" spans="10:26" x14ac:dyDescent="0.25">
      <c r="J73">
        <v>30</v>
      </c>
      <c r="K73">
        <v>140</v>
      </c>
      <c r="L73">
        <f t="shared" si="12"/>
        <v>8.4009318076576385</v>
      </c>
      <c r="M73" s="2">
        <f t="shared" si="13"/>
        <v>13.621740142061956</v>
      </c>
      <c r="N73">
        <f t="shared" si="14"/>
        <v>4.4328115399999994</v>
      </c>
      <c r="O73">
        <f t="shared" si="15"/>
        <v>10.379978206109769</v>
      </c>
      <c r="P73" s="4">
        <f t="shared" si="16"/>
        <v>6.8338280061543974</v>
      </c>
      <c r="Q73" s="4">
        <f t="shared" si="17"/>
        <v>10.50869967113011</v>
      </c>
      <c r="S73">
        <v>30</v>
      </c>
      <c r="T73">
        <v>140</v>
      </c>
      <c r="U73" s="6">
        <f t="shared" si="18"/>
        <v>8.4016453315679716</v>
      </c>
      <c r="V73" s="7">
        <f t="shared" si="19"/>
        <v>13.615696034512071</v>
      </c>
      <c r="W73" s="6">
        <f t="shared" si="20"/>
        <v>4.4349999999999987</v>
      </c>
      <c r="X73" s="6">
        <f t="shared" si="21"/>
        <v>10.372877151325902</v>
      </c>
      <c r="Y73" s="5">
        <f t="shared" si="22"/>
        <v>6.8322660621030451</v>
      </c>
      <c r="Z73" s="5">
        <f t="shared" si="23"/>
        <v>10.506684974138102</v>
      </c>
    </row>
    <row r="74" spans="10:26" x14ac:dyDescent="0.25">
      <c r="J74">
        <v>30</v>
      </c>
      <c r="K74">
        <v>150</v>
      </c>
      <c r="L74">
        <f t="shared" si="12"/>
        <v>8.4009318076576385</v>
      </c>
      <c r="M74" s="2">
        <f t="shared" si="13"/>
        <v>12.967570886484413</v>
      </c>
      <c r="N74">
        <f t="shared" si="14"/>
        <v>4.4328115399999994</v>
      </c>
      <c r="O74">
        <f t="shared" si="15"/>
        <v>10.437210599999997</v>
      </c>
      <c r="P74" s="4">
        <f t="shared" si="16"/>
        <v>6.8569341216952564</v>
      </c>
      <c r="Q74" s="4">
        <f t="shared" si="17"/>
        <v>10.244595561984458</v>
      </c>
      <c r="S74">
        <v>30</v>
      </c>
      <c r="T74">
        <v>150</v>
      </c>
      <c r="U74" s="6">
        <f t="shared" si="18"/>
        <v>8.4016453315679716</v>
      </c>
      <c r="V74" s="7">
        <f t="shared" si="19"/>
        <v>12.962778886484413</v>
      </c>
      <c r="W74" s="6">
        <f t="shared" si="20"/>
        <v>4.4349999999999987</v>
      </c>
      <c r="X74" s="6">
        <f t="shared" si="21"/>
        <v>10.43</v>
      </c>
      <c r="Y74" s="5">
        <f t="shared" si="22"/>
        <v>6.8553279515640764</v>
      </c>
      <c r="Z74" s="5">
        <f t="shared" si="23"/>
        <v>10.243086371398011</v>
      </c>
    </row>
    <row r="75" spans="10:26" x14ac:dyDescent="0.25">
      <c r="J75">
        <v>30</v>
      </c>
      <c r="K75">
        <v>160</v>
      </c>
      <c r="L75">
        <f t="shared" si="12"/>
        <v>8.4009318076576385</v>
      </c>
      <c r="M75" s="2">
        <f t="shared" si="13"/>
        <v>12.313401630906871</v>
      </c>
      <c r="N75">
        <f t="shared" si="14"/>
        <v>4.4328115399999994</v>
      </c>
      <c r="O75">
        <f t="shared" si="15"/>
        <v>10.379978206109769</v>
      </c>
      <c r="P75" s="4">
        <f t="shared" si="16"/>
        <v>6.8338280061543974</v>
      </c>
      <c r="Q75" s="4">
        <f t="shared" si="17"/>
        <v>9.9804914528388036</v>
      </c>
      <c r="S75">
        <v>30</v>
      </c>
      <c r="T75">
        <v>160</v>
      </c>
      <c r="U75" s="6">
        <f t="shared" si="18"/>
        <v>8.4016453315679716</v>
      </c>
      <c r="V75" s="7">
        <f t="shared" si="19"/>
        <v>12.309861738456755</v>
      </c>
      <c r="W75" s="6">
        <f t="shared" si="20"/>
        <v>4.4349999999999987</v>
      </c>
      <c r="X75" s="6">
        <f t="shared" si="21"/>
        <v>10.372877151325902</v>
      </c>
      <c r="Y75" s="5">
        <f t="shared" si="22"/>
        <v>6.8322660621030451</v>
      </c>
      <c r="Z75" s="5">
        <f t="shared" si="23"/>
        <v>9.979487768657922</v>
      </c>
    </row>
    <row r="76" spans="10:26" x14ac:dyDescent="0.25">
      <c r="J76">
        <v>30</v>
      </c>
      <c r="K76">
        <v>170</v>
      </c>
      <c r="L76">
        <f t="shared" si="12"/>
        <v>8.4009318076576385</v>
      </c>
      <c r="M76" s="2">
        <f t="shared" si="13"/>
        <v>11.679108977134435</v>
      </c>
      <c r="N76">
        <f t="shared" si="14"/>
        <v>4.4328115399999994</v>
      </c>
      <c r="O76">
        <f t="shared" si="15"/>
        <v>10.210020001766452</v>
      </c>
      <c r="P76" s="4">
        <f t="shared" si="16"/>
        <v>6.7652117271602741</v>
      </c>
      <c r="Q76" s="4">
        <f t="shared" si="17"/>
        <v>9.7244120134064147</v>
      </c>
      <c r="S76">
        <v>30</v>
      </c>
      <c r="T76">
        <v>170</v>
      </c>
      <c r="U76" s="6">
        <f t="shared" si="18"/>
        <v>8.4016453315679716</v>
      </c>
      <c r="V76" s="7">
        <f t="shared" si="19"/>
        <v>11.676783147579899</v>
      </c>
      <c r="W76" s="6">
        <f t="shared" si="20"/>
        <v>4.4349999999999987</v>
      </c>
      <c r="X76" s="6">
        <f t="shared" si="21"/>
        <v>10.203244254155017</v>
      </c>
      <c r="Y76" s="5">
        <f t="shared" si="22"/>
        <v>6.7637811175613445</v>
      </c>
      <c r="Z76" s="5">
        <f t="shared" si="23"/>
        <v>9.7238984760747584</v>
      </c>
    </row>
    <row r="77" spans="10:26" x14ac:dyDescent="0.25">
      <c r="J77">
        <v>30</v>
      </c>
      <c r="K77">
        <v>180</v>
      </c>
      <c r="L77">
        <f t="shared" si="12"/>
        <v>8.4009318076576385</v>
      </c>
      <c r="M77" s="2">
        <f t="shared" si="13"/>
        <v>11.083965586484414</v>
      </c>
      <c r="N77">
        <f t="shared" si="14"/>
        <v>4.4328115399999994</v>
      </c>
      <c r="O77">
        <f t="shared" si="15"/>
        <v>9.9325000810060153</v>
      </c>
      <c r="P77" s="4">
        <f t="shared" si="16"/>
        <v>6.6531701556286098</v>
      </c>
      <c r="Q77" s="4">
        <f t="shared" si="17"/>
        <v>9.4841380878719903</v>
      </c>
      <c r="S77">
        <v>30</v>
      </c>
      <c r="T77">
        <v>180</v>
      </c>
      <c r="U77" s="6">
        <f t="shared" si="18"/>
        <v>8.4016453315679716</v>
      </c>
      <c r="V77" s="7">
        <f t="shared" si="19"/>
        <v>11.082778886484412</v>
      </c>
      <c r="W77" s="6">
        <f t="shared" si="20"/>
        <v>4.4349999999999987</v>
      </c>
      <c r="X77" s="6">
        <f t="shared" si="21"/>
        <v>9.9262555182294889</v>
      </c>
      <c r="Y77" s="5">
        <f t="shared" si="22"/>
        <v>6.6519539983238207</v>
      </c>
      <c r="Z77" s="5">
        <f t="shared" si="23"/>
        <v>9.4840844449692447</v>
      </c>
    </row>
    <row r="78" spans="10:26" x14ac:dyDescent="0.25">
      <c r="J78">
        <v>40</v>
      </c>
      <c r="K78">
        <v>0</v>
      </c>
      <c r="L78">
        <f t="shared" si="12"/>
        <v>7.5145382952213593</v>
      </c>
      <c r="M78" s="2">
        <f t="shared" si="13"/>
        <v>14.05534116796696</v>
      </c>
      <c r="N78">
        <f t="shared" si="14"/>
        <v>5.6987126679750144</v>
      </c>
      <c r="O78">
        <f t="shared" si="15"/>
        <v>5.6889359670295239</v>
      </c>
      <c r="P78" s="4">
        <f t="shared" si="16"/>
        <v>5.694765574968768</v>
      </c>
      <c r="Q78" s="4">
        <f t="shared" si="17"/>
        <v>10.155220199904727</v>
      </c>
      <c r="S78">
        <v>40</v>
      </c>
      <c r="T78">
        <v>0</v>
      </c>
      <c r="U78" s="6">
        <f t="shared" si="18"/>
        <v>7.5148142104653344</v>
      </c>
      <c r="V78" s="7">
        <f t="shared" si="19"/>
        <v>14.045914283628557</v>
      </c>
      <c r="W78" s="6">
        <f t="shared" si="20"/>
        <v>5.7015260979196025</v>
      </c>
      <c r="X78" s="6">
        <f t="shared" si="21"/>
        <v>5.6944596070910745</v>
      </c>
      <c r="Y78" s="5">
        <f t="shared" si="22"/>
        <v>5.6986731829451642</v>
      </c>
      <c r="Z78" s="5">
        <f t="shared" si="23"/>
        <v>10.151578857928076</v>
      </c>
    </row>
    <row r="79" spans="10:26" x14ac:dyDescent="0.25">
      <c r="J79">
        <v>40</v>
      </c>
      <c r="K79">
        <v>10</v>
      </c>
      <c r="L79">
        <f t="shared" si="12"/>
        <v>7.5145382952213593</v>
      </c>
      <c r="M79" s="2">
        <f t="shared" si="13"/>
        <v>14.519675617396077</v>
      </c>
      <c r="N79">
        <f t="shared" si="14"/>
        <v>5.6987126679750144</v>
      </c>
      <c r="O79">
        <f t="shared" si="15"/>
        <v>6.1532704164586409</v>
      </c>
      <c r="P79" s="4">
        <f t="shared" si="16"/>
        <v>5.8822287354070344</v>
      </c>
      <c r="Q79" s="4">
        <f t="shared" si="17"/>
        <v>10.342683360342992</v>
      </c>
      <c r="S79">
        <v>40</v>
      </c>
      <c r="T79">
        <v>10</v>
      </c>
      <c r="U79" s="6">
        <f t="shared" si="18"/>
        <v>7.5148142104653344</v>
      </c>
      <c r="V79" s="7">
        <f t="shared" si="19"/>
        <v>14.509359977334526</v>
      </c>
      <c r="W79" s="6">
        <f t="shared" si="20"/>
        <v>5.7015260979196025</v>
      </c>
      <c r="X79" s="6">
        <f t="shared" si="21"/>
        <v>6.1579053007970446</v>
      </c>
      <c r="Y79" s="5">
        <f t="shared" si="22"/>
        <v>5.8857775309866271</v>
      </c>
      <c r="Z79" s="5">
        <f t="shared" si="23"/>
        <v>10.338683205969536</v>
      </c>
    </row>
    <row r="80" spans="10:26" x14ac:dyDescent="0.25">
      <c r="J80">
        <v>40</v>
      </c>
      <c r="K80">
        <v>20</v>
      </c>
      <c r="L80">
        <f t="shared" si="12"/>
        <v>7.5145382952213593</v>
      </c>
      <c r="M80" s="2">
        <f t="shared" si="13"/>
        <v>14.896324952213185</v>
      </c>
      <c r="N80">
        <f t="shared" si="14"/>
        <v>5.6987126679750144</v>
      </c>
      <c r="O80">
        <f t="shared" si="15"/>
        <v>6.691181413218434</v>
      </c>
      <c r="P80" s="4">
        <f t="shared" si="16"/>
        <v>6.0993965454005989</v>
      </c>
      <c r="Q80" s="4">
        <f t="shared" si="17"/>
        <v>10.494745897956983</v>
      </c>
      <c r="S80">
        <v>40</v>
      </c>
      <c r="T80">
        <v>20</v>
      </c>
      <c r="U80" s="6">
        <f t="shared" si="18"/>
        <v>7.5148142104653344</v>
      </c>
      <c r="V80" s="7">
        <f t="shared" si="19"/>
        <v>14.885288389436658</v>
      </c>
      <c r="W80" s="6">
        <f t="shared" si="20"/>
        <v>5.7015260979196025</v>
      </c>
      <c r="X80" s="6">
        <f t="shared" si="21"/>
        <v>6.6947867132184324</v>
      </c>
      <c r="Y80" s="5">
        <f t="shared" si="22"/>
        <v>6.1025296726311113</v>
      </c>
      <c r="Z80" s="5">
        <f t="shared" si="23"/>
        <v>10.490454689472104</v>
      </c>
    </row>
    <row r="81" spans="10:26" x14ac:dyDescent="0.25">
      <c r="J81">
        <v>40</v>
      </c>
      <c r="K81">
        <v>30</v>
      </c>
      <c r="L81">
        <f t="shared" si="12"/>
        <v>7.5145382952213593</v>
      </c>
      <c r="M81" s="2">
        <f t="shared" si="13"/>
        <v>15.173844872973621</v>
      </c>
      <c r="N81">
        <f t="shared" si="14"/>
        <v>5.6987126679750144</v>
      </c>
      <c r="O81">
        <f t="shared" si="15"/>
        <v>7.2863248038684549</v>
      </c>
      <c r="P81" s="4">
        <f t="shared" si="16"/>
        <v>6.3396704709350216</v>
      </c>
      <c r="Q81" s="4">
        <f t="shared" si="17"/>
        <v>10.606787469488648</v>
      </c>
      <c r="S81">
        <v>40</v>
      </c>
      <c r="T81">
        <v>30</v>
      </c>
      <c r="U81" s="6">
        <f t="shared" si="18"/>
        <v>7.5148142104653344</v>
      </c>
      <c r="V81" s="7">
        <f t="shared" si="19"/>
        <v>15.162277125362184</v>
      </c>
      <c r="W81" s="6">
        <f t="shared" si="20"/>
        <v>5.7015260979196025</v>
      </c>
      <c r="X81" s="6">
        <f t="shared" si="21"/>
        <v>7.2887909743139181</v>
      </c>
      <c r="Y81" s="5">
        <f t="shared" si="22"/>
        <v>6.3423437037366268</v>
      </c>
      <c r="Z81" s="5">
        <f t="shared" si="23"/>
        <v>10.602281808709627</v>
      </c>
    </row>
    <row r="82" spans="10:26" x14ac:dyDescent="0.25">
      <c r="J82">
        <v>40</v>
      </c>
      <c r="K82">
        <v>40</v>
      </c>
      <c r="L82">
        <f t="shared" si="12"/>
        <v>7.5145382952213593</v>
      </c>
      <c r="M82" s="2">
        <f t="shared" si="13"/>
        <v>15.343803077316938</v>
      </c>
      <c r="N82">
        <f t="shared" si="14"/>
        <v>5.6987126679750144</v>
      </c>
      <c r="O82">
        <f t="shared" si="15"/>
        <v>7.9206174576408905</v>
      </c>
      <c r="P82" s="4">
        <f t="shared" si="16"/>
        <v>6.5957499103674122</v>
      </c>
      <c r="Q82" s="4">
        <f t="shared" si="17"/>
        <v>10.67540374848277</v>
      </c>
      <c r="S82">
        <v>40</v>
      </c>
      <c r="T82">
        <v>40</v>
      </c>
      <c r="U82" s="6">
        <f t="shared" si="18"/>
        <v>7.5148142104653344</v>
      </c>
      <c r="V82" s="7">
        <f t="shared" si="19"/>
        <v>15.331910022533071</v>
      </c>
      <c r="W82" s="6">
        <f t="shared" si="20"/>
        <v>5.7015260979196025</v>
      </c>
      <c r="X82" s="6">
        <f t="shared" si="21"/>
        <v>7.9218695651907751</v>
      </c>
      <c r="Y82" s="5">
        <f t="shared" si="22"/>
        <v>6.5979329963197886</v>
      </c>
      <c r="Z82" s="5">
        <f t="shared" si="23"/>
        <v>10.670766753251328</v>
      </c>
    </row>
    <row r="83" spans="10:26" x14ac:dyDescent="0.25">
      <c r="J83">
        <v>40</v>
      </c>
      <c r="K83">
        <v>50</v>
      </c>
      <c r="L83">
        <f t="shared" si="12"/>
        <v>7.5145382952213593</v>
      </c>
      <c r="M83" s="2">
        <f t="shared" si="13"/>
        <v>15.401035471207166</v>
      </c>
      <c r="N83">
        <f t="shared" si="14"/>
        <v>5.6987126679750144</v>
      </c>
      <c r="O83">
        <f t="shared" si="15"/>
        <v>8.5747867132184332</v>
      </c>
      <c r="P83" s="4">
        <f t="shared" si="16"/>
        <v>6.8598540195130653</v>
      </c>
      <c r="Q83" s="4">
        <f t="shared" si="17"/>
        <v>10.698509864023629</v>
      </c>
      <c r="S83">
        <v>40</v>
      </c>
      <c r="T83">
        <v>50</v>
      </c>
      <c r="U83" s="6">
        <f t="shared" si="18"/>
        <v>7.5148142104653344</v>
      </c>
      <c r="V83" s="7">
        <f t="shared" si="19"/>
        <v>15.389032871207169</v>
      </c>
      <c r="W83" s="6">
        <f t="shared" si="20"/>
        <v>5.7015260979196025</v>
      </c>
      <c r="X83" s="6">
        <f t="shared" si="21"/>
        <v>8.5747867132184332</v>
      </c>
      <c r="Y83" s="5">
        <f t="shared" si="22"/>
        <v>6.8615315990598793</v>
      </c>
      <c r="Z83" s="5">
        <f t="shared" si="23"/>
        <v>10.69382864271236</v>
      </c>
    </row>
    <row r="84" spans="10:26" x14ac:dyDescent="0.25">
      <c r="J84">
        <v>40</v>
      </c>
      <c r="K84">
        <v>60</v>
      </c>
      <c r="L84">
        <f t="shared" si="12"/>
        <v>7.5145382952213593</v>
      </c>
      <c r="M84" s="2">
        <f t="shared" si="13"/>
        <v>15.343803077316938</v>
      </c>
      <c r="N84">
        <f t="shared" si="14"/>
        <v>5.6987126679750144</v>
      </c>
      <c r="O84">
        <f t="shared" si="15"/>
        <v>9.2289559687959759</v>
      </c>
      <c r="P84" s="4">
        <f t="shared" si="16"/>
        <v>7.1239581286587184</v>
      </c>
      <c r="Q84" s="4">
        <f t="shared" si="17"/>
        <v>10.67540374848277</v>
      </c>
      <c r="S84">
        <v>40</v>
      </c>
      <c r="T84">
        <v>60</v>
      </c>
      <c r="U84" s="6">
        <f t="shared" si="18"/>
        <v>7.5148142104653344</v>
      </c>
      <c r="V84" s="7">
        <f t="shared" si="19"/>
        <v>15.331910022533071</v>
      </c>
      <c r="W84" s="6">
        <f t="shared" si="20"/>
        <v>5.7015260979196025</v>
      </c>
      <c r="X84" s="6">
        <f t="shared" si="21"/>
        <v>9.2277038612460913</v>
      </c>
      <c r="Y84" s="5">
        <f t="shared" si="22"/>
        <v>7.1251302017999691</v>
      </c>
      <c r="Z84" s="5">
        <f t="shared" si="23"/>
        <v>10.670766753251328</v>
      </c>
    </row>
    <row r="85" spans="10:26" x14ac:dyDescent="0.25">
      <c r="J85">
        <v>40</v>
      </c>
      <c r="K85">
        <v>70</v>
      </c>
      <c r="L85">
        <f t="shared" si="12"/>
        <v>7.5145382952213593</v>
      </c>
      <c r="M85" s="2">
        <f t="shared" si="13"/>
        <v>15.173844872973621</v>
      </c>
      <c r="N85">
        <f t="shared" si="14"/>
        <v>5.6987126679750144</v>
      </c>
      <c r="O85">
        <f t="shared" si="15"/>
        <v>9.8632486225684115</v>
      </c>
      <c r="P85" s="4">
        <f t="shared" si="16"/>
        <v>7.3800375680911081</v>
      </c>
      <c r="Q85" s="4">
        <f t="shared" si="17"/>
        <v>10.606787469488648</v>
      </c>
      <c r="S85">
        <v>40</v>
      </c>
      <c r="T85">
        <v>70</v>
      </c>
      <c r="U85" s="6">
        <f t="shared" si="18"/>
        <v>7.5148142104653344</v>
      </c>
      <c r="V85" s="7">
        <f t="shared" si="19"/>
        <v>15.162277125362184</v>
      </c>
      <c r="W85" s="6">
        <f t="shared" si="20"/>
        <v>5.7015260979196025</v>
      </c>
      <c r="X85" s="6">
        <f t="shared" si="21"/>
        <v>9.8607824521229475</v>
      </c>
      <c r="Y85" s="5">
        <f t="shared" si="22"/>
        <v>7.3807194943831318</v>
      </c>
      <c r="Z85" s="5">
        <f t="shared" si="23"/>
        <v>10.602281808709627</v>
      </c>
    </row>
    <row r="86" spans="10:26" x14ac:dyDescent="0.25">
      <c r="J86">
        <v>40</v>
      </c>
      <c r="K86">
        <v>80</v>
      </c>
      <c r="L86">
        <f t="shared" si="12"/>
        <v>7.5145382952213593</v>
      </c>
      <c r="M86" s="2">
        <f t="shared" si="13"/>
        <v>14.896324952213185</v>
      </c>
      <c r="N86">
        <f t="shared" si="14"/>
        <v>5.6987126679750144</v>
      </c>
      <c r="O86">
        <f t="shared" si="15"/>
        <v>10.458392013218432</v>
      </c>
      <c r="P86" s="4">
        <f t="shared" si="16"/>
        <v>7.6203114936255325</v>
      </c>
      <c r="Q86" s="4">
        <f t="shared" si="17"/>
        <v>10.494745897956983</v>
      </c>
      <c r="S86">
        <v>40</v>
      </c>
      <c r="T86">
        <v>80</v>
      </c>
      <c r="U86" s="6">
        <f t="shared" si="18"/>
        <v>7.5148142104653344</v>
      </c>
      <c r="V86" s="7">
        <f t="shared" si="19"/>
        <v>14.885288389436658</v>
      </c>
      <c r="W86" s="6">
        <f t="shared" si="20"/>
        <v>5.7015260979196025</v>
      </c>
      <c r="X86" s="6">
        <f t="shared" si="21"/>
        <v>10.454786713218434</v>
      </c>
      <c r="Y86" s="5">
        <f t="shared" si="22"/>
        <v>7.6205335254886482</v>
      </c>
      <c r="Z86" s="5">
        <f t="shared" si="23"/>
        <v>10.490454689472104</v>
      </c>
    </row>
    <row r="87" spans="10:26" x14ac:dyDescent="0.25">
      <c r="J87">
        <v>40</v>
      </c>
      <c r="K87">
        <v>90</v>
      </c>
      <c r="L87">
        <f t="shared" si="12"/>
        <v>7.5145382952213593</v>
      </c>
      <c r="M87" s="2">
        <f t="shared" si="13"/>
        <v>14.519675617396077</v>
      </c>
      <c r="N87">
        <f t="shared" si="14"/>
        <v>5.6987126679750144</v>
      </c>
      <c r="O87">
        <f t="shared" si="15"/>
        <v>10.996303009978226</v>
      </c>
      <c r="P87" s="4">
        <f t="shared" si="16"/>
        <v>7.8374793036190962</v>
      </c>
      <c r="Q87" s="4">
        <f t="shared" si="17"/>
        <v>10.342683360342992</v>
      </c>
      <c r="S87">
        <v>40</v>
      </c>
      <c r="T87">
        <v>90</v>
      </c>
      <c r="U87" s="6">
        <f t="shared" si="18"/>
        <v>7.5148142104653344</v>
      </c>
      <c r="V87" s="7">
        <f t="shared" si="19"/>
        <v>14.509359977334526</v>
      </c>
      <c r="W87" s="6">
        <f t="shared" si="20"/>
        <v>5.7015260979196025</v>
      </c>
      <c r="X87" s="6">
        <f t="shared" si="21"/>
        <v>10.991668125639823</v>
      </c>
      <c r="Y87" s="5">
        <f t="shared" si="22"/>
        <v>7.8372856671331332</v>
      </c>
      <c r="Z87" s="5">
        <f t="shared" si="23"/>
        <v>10.338683205969536</v>
      </c>
    </row>
    <row r="88" spans="10:26" x14ac:dyDescent="0.25">
      <c r="J88">
        <v>40</v>
      </c>
      <c r="K88">
        <v>100</v>
      </c>
      <c r="L88">
        <f t="shared" si="12"/>
        <v>7.5145382952213593</v>
      </c>
      <c r="M88" s="2">
        <f t="shared" si="13"/>
        <v>14.05534116796696</v>
      </c>
      <c r="N88">
        <f t="shared" si="14"/>
        <v>5.6987126679750144</v>
      </c>
      <c r="O88">
        <f t="shared" si="15"/>
        <v>11.460637459407343</v>
      </c>
      <c r="P88" s="4">
        <f t="shared" si="16"/>
        <v>8.0249424640573626</v>
      </c>
      <c r="Q88" s="4">
        <f t="shared" si="17"/>
        <v>10.155220199904727</v>
      </c>
      <c r="S88">
        <v>40</v>
      </c>
      <c r="T88">
        <v>100</v>
      </c>
      <c r="U88" s="6">
        <f t="shared" si="18"/>
        <v>7.5148142104653344</v>
      </c>
      <c r="V88" s="7">
        <f t="shared" si="19"/>
        <v>14.045914283628557</v>
      </c>
      <c r="W88" s="6">
        <f t="shared" si="20"/>
        <v>5.7015260979196025</v>
      </c>
      <c r="X88" s="6">
        <f t="shared" si="21"/>
        <v>11.455113819345792</v>
      </c>
      <c r="Y88" s="5">
        <f t="shared" si="22"/>
        <v>8.0243900151745944</v>
      </c>
      <c r="Z88" s="5">
        <f t="shared" si="23"/>
        <v>10.151578857928076</v>
      </c>
    </row>
    <row r="89" spans="10:26" x14ac:dyDescent="0.25">
      <c r="J89">
        <v>40</v>
      </c>
      <c r="K89">
        <v>110</v>
      </c>
      <c r="L89">
        <f t="shared" si="12"/>
        <v>7.5145382952213593</v>
      </c>
      <c r="M89" s="2">
        <f t="shared" si="13"/>
        <v>13.517430171207167</v>
      </c>
      <c r="N89">
        <f t="shared" si="14"/>
        <v>5.6987126679750144</v>
      </c>
      <c r="O89">
        <f t="shared" si="15"/>
        <v>11.837286794224449</v>
      </c>
      <c r="P89" s="4">
        <f t="shared" si="16"/>
        <v>8.1770050016713522</v>
      </c>
      <c r="Q89" s="4">
        <f t="shared" si="17"/>
        <v>9.9380523899111637</v>
      </c>
      <c r="S89">
        <v>40</v>
      </c>
      <c r="T89">
        <v>110</v>
      </c>
      <c r="U89" s="6">
        <f t="shared" si="18"/>
        <v>7.5148142104653344</v>
      </c>
      <c r="V89" s="7">
        <f t="shared" si="19"/>
        <v>13.509032871207168</v>
      </c>
      <c r="W89" s="6">
        <f t="shared" si="20"/>
        <v>5.7015260979196025</v>
      </c>
      <c r="X89" s="6">
        <f t="shared" si="21"/>
        <v>11.831042231447924</v>
      </c>
      <c r="Y89" s="5">
        <f t="shared" si="22"/>
        <v>8.1761614986771605</v>
      </c>
      <c r="Z89" s="5">
        <f t="shared" si="23"/>
        <v>9.9348267162835917</v>
      </c>
    </row>
    <row r="90" spans="10:26" x14ac:dyDescent="0.25">
      <c r="J90">
        <v>40</v>
      </c>
      <c r="K90">
        <v>120</v>
      </c>
      <c r="L90">
        <f t="shared" si="12"/>
        <v>7.5145382952213593</v>
      </c>
      <c r="M90" s="2">
        <f t="shared" si="13"/>
        <v>12.922286780557146</v>
      </c>
      <c r="N90">
        <f t="shared" si="14"/>
        <v>5.6987126679750144</v>
      </c>
      <c r="O90">
        <f t="shared" si="15"/>
        <v>12.114806714984887</v>
      </c>
      <c r="P90" s="4">
        <f t="shared" si="16"/>
        <v>8.2890465732030183</v>
      </c>
      <c r="Q90" s="4">
        <f t="shared" si="17"/>
        <v>9.6977784643767393</v>
      </c>
      <c r="S90">
        <v>40</v>
      </c>
      <c r="T90">
        <v>120</v>
      </c>
      <c r="U90" s="6">
        <f t="shared" si="18"/>
        <v>7.5148142104653344</v>
      </c>
      <c r="V90" s="7">
        <f t="shared" si="19"/>
        <v>12.915028610111683</v>
      </c>
      <c r="W90" s="6">
        <f t="shared" si="20"/>
        <v>5.7015260979196025</v>
      </c>
      <c r="X90" s="6">
        <f t="shared" si="21"/>
        <v>12.10803096737345</v>
      </c>
      <c r="Y90" s="5">
        <f t="shared" si="22"/>
        <v>8.2879886179146851</v>
      </c>
      <c r="Z90" s="5">
        <f t="shared" si="23"/>
        <v>9.6950126851780762</v>
      </c>
    </row>
    <row r="91" spans="10:26" x14ac:dyDescent="0.25">
      <c r="J91">
        <v>40</v>
      </c>
      <c r="K91">
        <v>130</v>
      </c>
      <c r="L91">
        <f t="shared" si="12"/>
        <v>7.5145382952213593</v>
      </c>
      <c r="M91" s="2">
        <f t="shared" si="13"/>
        <v>12.28799412678471</v>
      </c>
      <c r="N91">
        <f t="shared" si="14"/>
        <v>5.6987126679750144</v>
      </c>
      <c r="O91">
        <f t="shared" si="15"/>
        <v>12.284764919328204</v>
      </c>
      <c r="P91" s="4">
        <f t="shared" si="16"/>
        <v>8.3576628521971408</v>
      </c>
      <c r="Q91" s="4">
        <f t="shared" si="17"/>
        <v>9.4416990249443504</v>
      </c>
      <c r="S91">
        <v>40</v>
      </c>
      <c r="T91">
        <v>130</v>
      </c>
      <c r="U91" s="6">
        <f t="shared" si="18"/>
        <v>7.5148142104653344</v>
      </c>
      <c r="V91" s="7">
        <f t="shared" si="19"/>
        <v>12.281950019234825</v>
      </c>
      <c r="W91" s="6">
        <f t="shared" si="20"/>
        <v>5.7015260979196025</v>
      </c>
      <c r="X91" s="6">
        <f t="shared" si="21"/>
        <v>12.277663864544337</v>
      </c>
      <c r="Y91" s="5">
        <f t="shared" si="22"/>
        <v>8.3564735624563848</v>
      </c>
      <c r="Z91" s="5">
        <f t="shared" si="23"/>
        <v>9.4394233925949127</v>
      </c>
    </row>
    <row r="92" spans="10:26" x14ac:dyDescent="0.25">
      <c r="J92">
        <v>40</v>
      </c>
      <c r="K92">
        <v>140</v>
      </c>
      <c r="L92">
        <f t="shared" si="12"/>
        <v>7.5145382952213593</v>
      </c>
      <c r="M92" s="2">
        <f t="shared" si="13"/>
        <v>11.633824871207167</v>
      </c>
      <c r="N92">
        <f t="shared" si="14"/>
        <v>5.6987126679750144</v>
      </c>
      <c r="O92">
        <f t="shared" si="15"/>
        <v>12.341997313218432</v>
      </c>
      <c r="P92" s="4">
        <f t="shared" si="16"/>
        <v>8.380768967737998</v>
      </c>
      <c r="Q92" s="4">
        <f t="shared" si="17"/>
        <v>9.1775949157986965</v>
      </c>
      <c r="S92">
        <v>40</v>
      </c>
      <c r="T92">
        <v>140</v>
      </c>
      <c r="U92" s="6">
        <f t="shared" si="18"/>
        <v>7.5148142104653344</v>
      </c>
      <c r="V92" s="7">
        <f t="shared" si="19"/>
        <v>11.629032871207167</v>
      </c>
      <c r="W92" s="6">
        <f t="shared" si="20"/>
        <v>5.7015260979196025</v>
      </c>
      <c r="X92" s="6">
        <f t="shared" si="21"/>
        <v>12.334786713218435</v>
      </c>
      <c r="Y92" s="5">
        <f t="shared" si="22"/>
        <v>8.3795354519174161</v>
      </c>
      <c r="Z92" s="5">
        <f t="shared" si="23"/>
        <v>9.175824789854822</v>
      </c>
    </row>
    <row r="93" spans="10:26" x14ac:dyDescent="0.25">
      <c r="J93">
        <v>40</v>
      </c>
      <c r="K93">
        <v>150</v>
      </c>
      <c r="L93">
        <f t="shared" si="12"/>
        <v>7.5145382952213593</v>
      </c>
      <c r="M93" s="2">
        <f t="shared" si="13"/>
        <v>10.979655615629625</v>
      </c>
      <c r="N93">
        <f t="shared" si="14"/>
        <v>5.6987126679750144</v>
      </c>
      <c r="O93">
        <f t="shared" si="15"/>
        <v>12.284764919328204</v>
      </c>
      <c r="P93" s="4">
        <f t="shared" si="16"/>
        <v>8.3576628521971408</v>
      </c>
      <c r="Q93" s="4">
        <f t="shared" si="17"/>
        <v>8.9134908066530425</v>
      </c>
      <c r="S93">
        <v>40</v>
      </c>
      <c r="T93">
        <v>150</v>
      </c>
      <c r="U93" s="6">
        <f t="shared" si="18"/>
        <v>7.5148142104653344</v>
      </c>
      <c r="V93" s="7">
        <f t="shared" si="19"/>
        <v>10.976115723179509</v>
      </c>
      <c r="W93" s="6">
        <f t="shared" si="20"/>
        <v>5.7015260979196025</v>
      </c>
      <c r="X93" s="6">
        <f t="shared" si="21"/>
        <v>12.277663864544337</v>
      </c>
      <c r="Y93" s="5">
        <f t="shared" si="22"/>
        <v>8.3564735624563848</v>
      </c>
      <c r="Z93" s="5">
        <f t="shared" si="23"/>
        <v>8.912226187114733</v>
      </c>
    </row>
    <row r="94" spans="10:26" x14ac:dyDescent="0.25">
      <c r="J94">
        <v>40</v>
      </c>
      <c r="K94">
        <v>160</v>
      </c>
      <c r="L94">
        <f t="shared" si="12"/>
        <v>7.5145382952213593</v>
      </c>
      <c r="M94" s="2">
        <f t="shared" si="13"/>
        <v>10.345362961857189</v>
      </c>
      <c r="N94">
        <f t="shared" si="14"/>
        <v>5.6987126679750144</v>
      </c>
      <c r="O94">
        <f t="shared" si="15"/>
        <v>12.114806714984887</v>
      </c>
      <c r="P94" s="4">
        <f t="shared" si="16"/>
        <v>8.2890465732030183</v>
      </c>
      <c r="Q94" s="4">
        <f t="shared" si="17"/>
        <v>8.6574113672206536</v>
      </c>
      <c r="S94">
        <v>40</v>
      </c>
      <c r="T94">
        <v>160</v>
      </c>
      <c r="U94" s="6">
        <f t="shared" si="18"/>
        <v>7.5148142104653344</v>
      </c>
      <c r="V94" s="7">
        <f t="shared" si="19"/>
        <v>10.343037132302653</v>
      </c>
      <c r="W94" s="6">
        <f t="shared" si="20"/>
        <v>5.7015260979196025</v>
      </c>
      <c r="X94" s="6">
        <f t="shared" si="21"/>
        <v>12.10803096737345</v>
      </c>
      <c r="Y94" s="5">
        <f t="shared" si="22"/>
        <v>8.2879886179146851</v>
      </c>
      <c r="Z94" s="5">
        <f t="shared" si="23"/>
        <v>8.6566368945315695</v>
      </c>
    </row>
    <row r="95" spans="10:26" x14ac:dyDescent="0.25">
      <c r="J95">
        <v>40</v>
      </c>
      <c r="K95">
        <v>170</v>
      </c>
      <c r="L95">
        <f t="shared" si="12"/>
        <v>7.5145382952213593</v>
      </c>
      <c r="M95" s="2">
        <f t="shared" si="13"/>
        <v>9.7502195712071682</v>
      </c>
      <c r="N95">
        <f t="shared" si="14"/>
        <v>5.6987126679750144</v>
      </c>
      <c r="O95">
        <f t="shared" si="15"/>
        <v>11.83728679422445</v>
      </c>
      <c r="P95" s="4">
        <f t="shared" si="16"/>
        <v>8.1770050016713522</v>
      </c>
      <c r="Q95" s="4">
        <f t="shared" si="17"/>
        <v>8.4171374416862292</v>
      </c>
      <c r="S95">
        <v>40</v>
      </c>
      <c r="T95">
        <v>170</v>
      </c>
      <c r="U95" s="6">
        <f t="shared" si="18"/>
        <v>7.5148142104653344</v>
      </c>
      <c r="V95" s="7">
        <f t="shared" si="19"/>
        <v>9.7490328712071666</v>
      </c>
      <c r="W95" s="6">
        <f t="shared" si="20"/>
        <v>5.7015260979196025</v>
      </c>
      <c r="X95" s="6">
        <f t="shared" si="21"/>
        <v>11.831042231447924</v>
      </c>
      <c r="Y95" s="5">
        <f t="shared" si="22"/>
        <v>8.1761614986771605</v>
      </c>
      <c r="Z95" s="5">
        <f t="shared" si="23"/>
        <v>8.416822863426054</v>
      </c>
    </row>
    <row r="96" spans="10:26" x14ac:dyDescent="0.25">
      <c r="J96">
        <v>40</v>
      </c>
      <c r="K96">
        <v>180</v>
      </c>
      <c r="L96">
        <f t="shared" si="12"/>
        <v>7.5145382952213593</v>
      </c>
      <c r="M96" s="2">
        <f t="shared" si="13"/>
        <v>9.2123085744473752</v>
      </c>
      <c r="N96">
        <f t="shared" si="14"/>
        <v>5.6987126679750144</v>
      </c>
      <c r="O96">
        <f t="shared" si="15"/>
        <v>11.460637459407343</v>
      </c>
      <c r="P96" s="4">
        <f t="shared" si="16"/>
        <v>8.0249424640573626</v>
      </c>
      <c r="Q96" s="4">
        <f t="shared" si="17"/>
        <v>8.1999696316926656</v>
      </c>
      <c r="S96">
        <v>40</v>
      </c>
      <c r="T96">
        <v>180</v>
      </c>
      <c r="U96" s="6">
        <f t="shared" si="18"/>
        <v>7.5148142104653344</v>
      </c>
      <c r="V96" s="7">
        <f t="shared" si="19"/>
        <v>9.2121514587857778</v>
      </c>
      <c r="W96" s="6">
        <f t="shared" si="20"/>
        <v>5.7015260979196025</v>
      </c>
      <c r="X96" s="6">
        <f t="shared" si="21"/>
        <v>11.455113819345792</v>
      </c>
      <c r="Y96" s="5">
        <f t="shared" si="22"/>
        <v>8.0243900151745944</v>
      </c>
      <c r="Z96" s="5">
        <f t="shared" si="23"/>
        <v>8.2000707217815698</v>
      </c>
    </row>
    <row r="97" spans="10:28" x14ac:dyDescent="0.25">
      <c r="J97">
        <v>50</v>
      </c>
      <c r="K97">
        <v>0</v>
      </c>
      <c r="L97">
        <f t="shared" si="12"/>
        <v>6.4217896679750153</v>
      </c>
      <c r="M97" s="2">
        <f t="shared" si="13"/>
        <v>12.875429459407345</v>
      </c>
      <c r="N97">
        <f t="shared" si="14"/>
        <v>6.7914612952213593</v>
      </c>
      <c r="O97">
        <f t="shared" si="15"/>
        <v>7.7975165744473749</v>
      </c>
      <c r="P97" s="4">
        <f t="shared" si="16"/>
        <v>7.1976303883204968</v>
      </c>
      <c r="Q97" s="4">
        <f t="shared" si="17"/>
        <v>9.0272817074295322</v>
      </c>
      <c r="S97">
        <v>50</v>
      </c>
      <c r="T97">
        <v>0</v>
      </c>
      <c r="U97" s="6">
        <f t="shared" si="18"/>
        <v>6.4215260979196032</v>
      </c>
      <c r="V97" s="7">
        <f t="shared" si="19"/>
        <v>12.865113819345794</v>
      </c>
      <c r="W97" s="6">
        <f t="shared" si="20"/>
        <v>6.7948142104653346</v>
      </c>
      <c r="X97" s="6">
        <f t="shared" si="21"/>
        <v>7.8021514587857785</v>
      </c>
      <c r="Y97" s="5">
        <f t="shared" si="22"/>
        <v>7.2015008658050546</v>
      </c>
      <c r="Z97" s="5">
        <f t="shared" si="23"/>
        <v>9.0229598711511105</v>
      </c>
    </row>
    <row r="98" spans="10:28" x14ac:dyDescent="0.25">
      <c r="J98">
        <v>50</v>
      </c>
      <c r="K98">
        <v>10</v>
      </c>
      <c r="L98">
        <f t="shared" si="12"/>
        <v>6.4217896679750153</v>
      </c>
      <c r="M98" s="2">
        <f t="shared" si="13"/>
        <v>13.252078794224452</v>
      </c>
      <c r="N98">
        <f t="shared" si="14"/>
        <v>6.7914612952213593</v>
      </c>
      <c r="O98">
        <f t="shared" si="15"/>
        <v>8.3354275712071679</v>
      </c>
      <c r="P98" s="4">
        <f t="shared" si="16"/>
        <v>7.4147981983140623</v>
      </c>
      <c r="Q98" s="4">
        <f t="shared" si="17"/>
        <v>9.1793442450435219</v>
      </c>
      <c r="S98">
        <v>50</v>
      </c>
      <c r="T98">
        <v>10</v>
      </c>
      <c r="U98" s="6">
        <f t="shared" si="18"/>
        <v>6.4215260979196032</v>
      </c>
      <c r="V98" s="7">
        <f t="shared" si="19"/>
        <v>13.241042231447926</v>
      </c>
      <c r="W98" s="6">
        <f t="shared" si="20"/>
        <v>6.7948142104653346</v>
      </c>
      <c r="X98" s="6">
        <f t="shared" si="21"/>
        <v>8.3390328712071664</v>
      </c>
      <c r="Y98" s="5">
        <f t="shared" si="22"/>
        <v>7.4182530074495379</v>
      </c>
      <c r="Z98" s="5">
        <f t="shared" si="23"/>
        <v>9.1747313546536784</v>
      </c>
    </row>
    <row r="99" spans="10:28" x14ac:dyDescent="0.25">
      <c r="J99">
        <v>50</v>
      </c>
      <c r="K99">
        <v>20</v>
      </c>
      <c r="L99">
        <f t="shared" si="12"/>
        <v>6.4217896679750153</v>
      </c>
      <c r="M99" s="2">
        <f t="shared" si="13"/>
        <v>13.529598714984889</v>
      </c>
      <c r="N99">
        <f t="shared" si="14"/>
        <v>6.7914612952213593</v>
      </c>
      <c r="O99">
        <f t="shared" si="15"/>
        <v>8.9305709618571889</v>
      </c>
      <c r="P99" s="4">
        <f t="shared" si="16"/>
        <v>7.6550721238484849</v>
      </c>
      <c r="Q99" s="4">
        <f t="shared" si="17"/>
        <v>9.2913858165751861</v>
      </c>
      <c r="S99">
        <v>50</v>
      </c>
      <c r="T99">
        <v>20</v>
      </c>
      <c r="U99" s="6">
        <f t="shared" si="18"/>
        <v>6.4215260979196032</v>
      </c>
      <c r="V99" s="7">
        <f t="shared" si="19"/>
        <v>13.518030967373452</v>
      </c>
      <c r="W99" s="6">
        <f t="shared" si="20"/>
        <v>6.7948142104653346</v>
      </c>
      <c r="X99" s="6">
        <f t="shared" si="21"/>
        <v>8.9330371323026529</v>
      </c>
      <c r="Y99" s="5">
        <f t="shared" si="22"/>
        <v>7.6580670385550551</v>
      </c>
      <c r="Z99" s="5">
        <f t="shared" si="23"/>
        <v>9.2865584738912013</v>
      </c>
    </row>
    <row r="100" spans="10:28" x14ac:dyDescent="0.25">
      <c r="J100">
        <v>50</v>
      </c>
      <c r="K100">
        <v>30</v>
      </c>
      <c r="L100">
        <f t="shared" si="12"/>
        <v>6.4217896679750153</v>
      </c>
      <c r="M100" s="2">
        <f t="shared" si="13"/>
        <v>13.699556919328206</v>
      </c>
      <c r="N100">
        <f t="shared" si="14"/>
        <v>6.7914612952213593</v>
      </c>
      <c r="O100">
        <f t="shared" si="15"/>
        <v>9.5648636156296245</v>
      </c>
      <c r="P100" s="4">
        <f t="shared" si="16"/>
        <v>7.9111515632808747</v>
      </c>
      <c r="Q100" s="4">
        <f t="shared" si="17"/>
        <v>9.3600020955693086</v>
      </c>
      <c r="S100">
        <v>50</v>
      </c>
      <c r="T100">
        <v>30</v>
      </c>
      <c r="U100" s="6">
        <f t="shared" si="18"/>
        <v>6.4215260979196032</v>
      </c>
      <c r="V100" s="7">
        <f t="shared" si="19"/>
        <v>13.687663864544339</v>
      </c>
      <c r="W100" s="6">
        <f t="shared" si="20"/>
        <v>6.7948142104653346</v>
      </c>
      <c r="X100" s="6">
        <f t="shared" si="21"/>
        <v>9.5661157231795091</v>
      </c>
      <c r="Y100" s="5">
        <f t="shared" si="22"/>
        <v>7.913656331138216</v>
      </c>
      <c r="Z100" s="5">
        <f t="shared" si="23"/>
        <v>9.355043418432901</v>
      </c>
      <c r="AB100">
        <f>ACOS(alpha(-9.676))*180/PI()</f>
        <v>179.78048870296612</v>
      </c>
    </row>
    <row r="101" spans="10:28" x14ac:dyDescent="0.25">
      <c r="J101">
        <v>50</v>
      </c>
      <c r="K101">
        <v>40</v>
      </c>
      <c r="L101">
        <f t="shared" si="12"/>
        <v>6.4217896679750153</v>
      </c>
      <c r="M101" s="2">
        <f t="shared" si="13"/>
        <v>13.756789313218434</v>
      </c>
      <c r="N101">
        <f t="shared" si="14"/>
        <v>6.7914612952213593</v>
      </c>
      <c r="O101">
        <f t="shared" si="15"/>
        <v>10.219032871207167</v>
      </c>
      <c r="P101" s="4">
        <f t="shared" si="16"/>
        <v>8.1752556724265286</v>
      </c>
      <c r="Q101" s="4">
        <f t="shared" si="17"/>
        <v>9.3831082111101676</v>
      </c>
      <c r="S101">
        <v>50</v>
      </c>
      <c r="T101">
        <v>40</v>
      </c>
      <c r="U101" s="6">
        <f t="shared" si="18"/>
        <v>6.4215260979196032</v>
      </c>
      <c r="V101" s="7">
        <f t="shared" si="19"/>
        <v>13.744786713218437</v>
      </c>
      <c r="W101" s="6">
        <f t="shared" si="20"/>
        <v>6.7948142104653346</v>
      </c>
      <c r="X101" s="6">
        <f t="shared" si="21"/>
        <v>10.219032871207167</v>
      </c>
      <c r="Y101" s="5">
        <f t="shared" si="22"/>
        <v>8.1772549338783058</v>
      </c>
      <c r="Z101" s="5">
        <f t="shared" si="23"/>
        <v>9.3781053078939323</v>
      </c>
    </row>
    <row r="102" spans="10:28" x14ac:dyDescent="0.25">
      <c r="J102">
        <v>50</v>
      </c>
      <c r="K102">
        <v>50</v>
      </c>
      <c r="L102">
        <f t="shared" si="12"/>
        <v>6.4217896679750153</v>
      </c>
      <c r="M102" s="2">
        <f t="shared" si="13"/>
        <v>13.699556919328206</v>
      </c>
      <c r="N102">
        <f t="shared" si="14"/>
        <v>6.7914612952213593</v>
      </c>
      <c r="O102">
        <f t="shared" si="15"/>
        <v>10.87320212678471</v>
      </c>
      <c r="P102" s="4">
        <f t="shared" si="16"/>
        <v>8.4393597815721808</v>
      </c>
      <c r="Q102" s="4">
        <f t="shared" si="17"/>
        <v>9.3600020955693086</v>
      </c>
      <c r="S102">
        <v>50</v>
      </c>
      <c r="T102">
        <v>50</v>
      </c>
      <c r="U102" s="6">
        <f t="shared" si="18"/>
        <v>6.4215260979196032</v>
      </c>
      <c r="V102" s="7">
        <f t="shared" si="19"/>
        <v>13.687663864544339</v>
      </c>
      <c r="W102" s="6">
        <f t="shared" si="20"/>
        <v>6.7948142104653346</v>
      </c>
      <c r="X102" s="6">
        <f t="shared" si="21"/>
        <v>10.871950019234825</v>
      </c>
      <c r="Y102" s="5">
        <f t="shared" si="22"/>
        <v>8.4408535366183965</v>
      </c>
      <c r="Z102" s="5">
        <f t="shared" si="23"/>
        <v>9.355043418432901</v>
      </c>
    </row>
    <row r="103" spans="10:28" x14ac:dyDescent="0.25">
      <c r="J103">
        <v>50</v>
      </c>
      <c r="K103">
        <v>60</v>
      </c>
      <c r="L103">
        <f t="shared" si="12"/>
        <v>6.4217896679750153</v>
      </c>
      <c r="M103" s="2">
        <f t="shared" si="13"/>
        <v>13.529598714984889</v>
      </c>
      <c r="N103">
        <f t="shared" si="14"/>
        <v>6.7914612952213593</v>
      </c>
      <c r="O103">
        <f t="shared" si="15"/>
        <v>11.507494780557145</v>
      </c>
      <c r="P103" s="4">
        <f t="shared" si="16"/>
        <v>8.6954392210045732</v>
      </c>
      <c r="Q103" s="4">
        <f t="shared" si="17"/>
        <v>9.2913858165751861</v>
      </c>
      <c r="S103">
        <v>50</v>
      </c>
      <c r="T103">
        <v>60</v>
      </c>
      <c r="U103" s="6">
        <f t="shared" si="18"/>
        <v>6.4215260979196032</v>
      </c>
      <c r="V103" s="7">
        <f t="shared" si="19"/>
        <v>13.518030967373452</v>
      </c>
      <c r="W103" s="6">
        <f t="shared" si="20"/>
        <v>6.7948142104653346</v>
      </c>
      <c r="X103" s="6">
        <f t="shared" si="21"/>
        <v>11.505028610111681</v>
      </c>
      <c r="Y103" s="5">
        <f t="shared" si="22"/>
        <v>8.6964428292015601</v>
      </c>
      <c r="Z103" s="5">
        <f t="shared" si="23"/>
        <v>9.2865584738912013</v>
      </c>
    </row>
    <row r="104" spans="10:28" x14ac:dyDescent="0.25">
      <c r="J104">
        <v>50</v>
      </c>
      <c r="K104">
        <v>70</v>
      </c>
      <c r="L104">
        <f t="shared" si="12"/>
        <v>6.4217896679750153</v>
      </c>
      <c r="M104" s="2">
        <f t="shared" si="13"/>
        <v>13.252078794224452</v>
      </c>
      <c r="N104">
        <f t="shared" si="14"/>
        <v>6.7914612952213593</v>
      </c>
      <c r="O104">
        <f t="shared" si="15"/>
        <v>12.102638171207166</v>
      </c>
      <c r="P104" s="4">
        <f t="shared" si="16"/>
        <v>8.9357131465389941</v>
      </c>
      <c r="Q104" s="4">
        <f t="shared" si="17"/>
        <v>9.1793442450435219</v>
      </c>
      <c r="S104">
        <v>50</v>
      </c>
      <c r="T104">
        <v>70</v>
      </c>
      <c r="U104" s="6">
        <f t="shared" si="18"/>
        <v>6.4215260979196032</v>
      </c>
      <c r="V104" s="7">
        <f t="shared" si="19"/>
        <v>13.241042231447926</v>
      </c>
      <c r="W104" s="6">
        <f t="shared" si="20"/>
        <v>6.7948142104653346</v>
      </c>
      <c r="X104" s="6">
        <f t="shared" si="21"/>
        <v>12.099032871207168</v>
      </c>
      <c r="Y104" s="5">
        <f t="shared" si="22"/>
        <v>8.9362568603070756</v>
      </c>
      <c r="Z104" s="5">
        <f t="shared" si="23"/>
        <v>9.1747313546536784</v>
      </c>
    </row>
    <row r="105" spans="10:28" x14ac:dyDescent="0.25">
      <c r="J105">
        <v>50</v>
      </c>
      <c r="K105">
        <v>80</v>
      </c>
      <c r="L105">
        <f t="shared" si="12"/>
        <v>6.4217896679750153</v>
      </c>
      <c r="M105" s="2">
        <f t="shared" si="13"/>
        <v>12.875429459407345</v>
      </c>
      <c r="N105">
        <f t="shared" si="14"/>
        <v>6.7914612952213593</v>
      </c>
      <c r="O105">
        <f t="shared" si="15"/>
        <v>12.640549167966959</v>
      </c>
      <c r="P105" s="4">
        <f t="shared" si="16"/>
        <v>9.1528809565325595</v>
      </c>
      <c r="Q105" s="4">
        <f t="shared" si="17"/>
        <v>9.0272817074295322</v>
      </c>
      <c r="S105">
        <v>50</v>
      </c>
      <c r="T105">
        <v>80</v>
      </c>
      <c r="U105" s="6">
        <f t="shared" si="18"/>
        <v>6.4215260979196032</v>
      </c>
      <c r="V105" s="7">
        <f t="shared" si="19"/>
        <v>12.865113819345794</v>
      </c>
      <c r="W105" s="6">
        <f t="shared" si="20"/>
        <v>6.7948142104653346</v>
      </c>
      <c r="X105" s="6">
        <f t="shared" si="21"/>
        <v>12.635914283628555</v>
      </c>
      <c r="Y105" s="5">
        <f t="shared" si="22"/>
        <v>9.1530090019515598</v>
      </c>
      <c r="Z105" s="5">
        <f t="shared" si="23"/>
        <v>9.0229598711511105</v>
      </c>
    </row>
    <row r="106" spans="10:28" x14ac:dyDescent="0.25">
      <c r="J106">
        <v>50</v>
      </c>
      <c r="K106">
        <v>90</v>
      </c>
      <c r="L106">
        <f t="shared" si="12"/>
        <v>6.4217896679750153</v>
      </c>
      <c r="M106" s="2">
        <f t="shared" si="13"/>
        <v>12.411095009978228</v>
      </c>
      <c r="N106">
        <f t="shared" si="14"/>
        <v>6.7914612952213593</v>
      </c>
      <c r="O106">
        <f t="shared" si="15"/>
        <v>13.104883617396077</v>
      </c>
      <c r="P106" s="4">
        <f t="shared" si="16"/>
        <v>9.3403441169708259</v>
      </c>
      <c r="Q106" s="4">
        <f t="shared" si="17"/>
        <v>8.8398185469912658</v>
      </c>
      <c r="S106">
        <v>50</v>
      </c>
      <c r="T106">
        <v>90</v>
      </c>
      <c r="U106" s="6">
        <f t="shared" si="18"/>
        <v>6.4215260979196032</v>
      </c>
      <c r="V106" s="7">
        <f t="shared" si="19"/>
        <v>12.401668125639825</v>
      </c>
      <c r="W106" s="6">
        <f t="shared" si="20"/>
        <v>6.7948142104653346</v>
      </c>
      <c r="X106" s="6">
        <f t="shared" si="21"/>
        <v>13.099359977334526</v>
      </c>
      <c r="Y106" s="5">
        <f t="shared" si="22"/>
        <v>9.3401133499930218</v>
      </c>
      <c r="Z106" s="5">
        <f t="shared" si="23"/>
        <v>8.8358555231096503</v>
      </c>
    </row>
    <row r="107" spans="10:28" x14ac:dyDescent="0.25">
      <c r="J107">
        <v>50</v>
      </c>
      <c r="K107">
        <v>100</v>
      </c>
      <c r="L107">
        <f t="shared" si="12"/>
        <v>6.4217896679750153</v>
      </c>
      <c r="M107" s="2">
        <f t="shared" si="13"/>
        <v>11.873184013218435</v>
      </c>
      <c r="N107">
        <f t="shared" si="14"/>
        <v>6.7914612952213593</v>
      </c>
      <c r="O107">
        <f t="shared" si="15"/>
        <v>13.481532952213183</v>
      </c>
      <c r="P107" s="4">
        <f t="shared" si="16"/>
        <v>9.4924066545848138</v>
      </c>
      <c r="Q107" s="4">
        <f t="shared" si="17"/>
        <v>8.6226507369977003</v>
      </c>
      <c r="S107">
        <v>50</v>
      </c>
      <c r="T107">
        <v>100</v>
      </c>
      <c r="U107" s="6">
        <f t="shared" si="18"/>
        <v>6.4215260979196032</v>
      </c>
      <c r="V107" s="7">
        <f t="shared" si="19"/>
        <v>11.864786713218436</v>
      </c>
      <c r="W107" s="6">
        <f t="shared" si="20"/>
        <v>6.7948142104653346</v>
      </c>
      <c r="X107" s="6">
        <f t="shared" si="21"/>
        <v>13.475288389436658</v>
      </c>
      <c r="Y107" s="5">
        <f t="shared" si="22"/>
        <v>9.4918848334955879</v>
      </c>
      <c r="Z107" s="5">
        <f t="shared" si="23"/>
        <v>8.6191033814651643</v>
      </c>
    </row>
    <row r="108" spans="10:28" x14ac:dyDescent="0.25">
      <c r="J108">
        <v>50</v>
      </c>
      <c r="K108">
        <v>110</v>
      </c>
      <c r="L108">
        <f t="shared" si="12"/>
        <v>6.4217896679750153</v>
      </c>
      <c r="M108" s="2">
        <f t="shared" si="13"/>
        <v>11.278040622568414</v>
      </c>
      <c r="N108">
        <f t="shared" si="14"/>
        <v>6.7914612952213593</v>
      </c>
      <c r="O108">
        <f t="shared" si="15"/>
        <v>13.759052872973619</v>
      </c>
      <c r="P108" s="4">
        <f t="shared" si="16"/>
        <v>9.6044482261164799</v>
      </c>
      <c r="Q108" s="4">
        <f t="shared" si="17"/>
        <v>8.3823768114632777</v>
      </c>
      <c r="S108">
        <v>50</v>
      </c>
      <c r="T108">
        <v>110</v>
      </c>
      <c r="U108" s="6">
        <f t="shared" si="18"/>
        <v>6.4215260979196032</v>
      </c>
      <c r="V108" s="7">
        <f t="shared" si="19"/>
        <v>11.270782452122951</v>
      </c>
      <c r="W108" s="6">
        <f t="shared" si="20"/>
        <v>6.7948142104653346</v>
      </c>
      <c r="X108" s="6">
        <f t="shared" si="21"/>
        <v>13.752277125362184</v>
      </c>
      <c r="Y108" s="5">
        <f t="shared" si="22"/>
        <v>9.6037119527331107</v>
      </c>
      <c r="Z108" s="5">
        <f t="shared" si="23"/>
        <v>8.3792893503596488</v>
      </c>
    </row>
    <row r="109" spans="10:28" x14ac:dyDescent="0.25">
      <c r="J109">
        <v>50</v>
      </c>
      <c r="K109">
        <v>120</v>
      </c>
      <c r="L109">
        <f t="shared" si="12"/>
        <v>6.4217896679750153</v>
      </c>
      <c r="M109" s="2">
        <f t="shared" si="13"/>
        <v>10.643747968795978</v>
      </c>
      <c r="N109">
        <f t="shared" si="14"/>
        <v>6.7914612952213593</v>
      </c>
      <c r="O109">
        <f t="shared" si="15"/>
        <v>13.929011077316938</v>
      </c>
      <c r="P109" s="4">
        <f t="shared" si="16"/>
        <v>9.6730645051106023</v>
      </c>
      <c r="Q109" s="4">
        <f t="shared" si="17"/>
        <v>8.1262973720308871</v>
      </c>
      <c r="S109">
        <v>50</v>
      </c>
      <c r="T109">
        <v>120</v>
      </c>
      <c r="U109" s="6">
        <f t="shared" si="18"/>
        <v>6.4215260979196032</v>
      </c>
      <c r="V109" s="7">
        <f t="shared" si="19"/>
        <v>10.637703861246093</v>
      </c>
      <c r="W109" s="6">
        <f t="shared" si="20"/>
        <v>6.7948142104653346</v>
      </c>
      <c r="X109" s="6">
        <f t="shared" si="21"/>
        <v>13.921910022533071</v>
      </c>
      <c r="Y109" s="5">
        <f t="shared" si="22"/>
        <v>9.672196897274814</v>
      </c>
      <c r="Z109" s="5">
        <f t="shared" si="23"/>
        <v>8.1237000577764871</v>
      </c>
    </row>
    <row r="110" spans="10:28" x14ac:dyDescent="0.25">
      <c r="J110">
        <v>50</v>
      </c>
      <c r="K110">
        <v>130</v>
      </c>
      <c r="L110">
        <f t="shared" si="12"/>
        <v>6.4217896679750153</v>
      </c>
      <c r="M110" s="2">
        <f t="shared" si="13"/>
        <v>9.9895787132184353</v>
      </c>
      <c r="N110">
        <f t="shared" si="14"/>
        <v>6.7914612952213593</v>
      </c>
      <c r="O110">
        <f t="shared" si="15"/>
        <v>13.986243471207166</v>
      </c>
      <c r="P110" s="4">
        <f t="shared" si="16"/>
        <v>9.6961706206514613</v>
      </c>
      <c r="Q110" s="4">
        <f t="shared" si="17"/>
        <v>7.862193262885234</v>
      </c>
      <c r="S110">
        <v>50</v>
      </c>
      <c r="T110">
        <v>130</v>
      </c>
      <c r="U110" s="6">
        <f t="shared" si="18"/>
        <v>6.4215260979196032</v>
      </c>
      <c r="V110" s="7">
        <f t="shared" si="19"/>
        <v>9.9847867132184351</v>
      </c>
      <c r="W110" s="6">
        <f t="shared" si="20"/>
        <v>6.7948142104653346</v>
      </c>
      <c r="X110" s="6">
        <f t="shared" si="21"/>
        <v>13.979032871207169</v>
      </c>
      <c r="Y110" s="5">
        <f t="shared" si="22"/>
        <v>9.6952587867358435</v>
      </c>
      <c r="Z110" s="5">
        <f t="shared" si="23"/>
        <v>7.8601014550363963</v>
      </c>
    </row>
    <row r="111" spans="10:28" x14ac:dyDescent="0.25">
      <c r="J111">
        <v>50</v>
      </c>
      <c r="K111">
        <v>140</v>
      </c>
      <c r="L111">
        <f t="shared" si="12"/>
        <v>6.4217896679750153</v>
      </c>
      <c r="M111" s="2">
        <f t="shared" si="13"/>
        <v>9.3354094576408926</v>
      </c>
      <c r="N111">
        <f t="shared" si="14"/>
        <v>6.7914612952213593</v>
      </c>
      <c r="O111">
        <f t="shared" si="15"/>
        <v>13.929011077316938</v>
      </c>
      <c r="P111" s="4">
        <f t="shared" si="16"/>
        <v>9.6730645051106023</v>
      </c>
      <c r="Q111" s="4">
        <f t="shared" si="17"/>
        <v>7.5980891537395818</v>
      </c>
      <c r="S111">
        <v>50</v>
      </c>
      <c r="T111">
        <v>140</v>
      </c>
      <c r="U111" s="6">
        <f t="shared" si="18"/>
        <v>6.4215260979196032</v>
      </c>
      <c r="V111" s="7">
        <f t="shared" si="19"/>
        <v>9.331869565190777</v>
      </c>
      <c r="W111" s="6">
        <f t="shared" si="20"/>
        <v>6.7948142104653346</v>
      </c>
      <c r="X111" s="6">
        <f t="shared" si="21"/>
        <v>13.921910022533071</v>
      </c>
      <c r="Y111" s="5">
        <f t="shared" si="22"/>
        <v>9.672196897274814</v>
      </c>
      <c r="Z111" s="5">
        <f t="shared" si="23"/>
        <v>7.5965028522963056</v>
      </c>
    </row>
    <row r="112" spans="10:28" x14ac:dyDescent="0.25">
      <c r="J112">
        <v>50</v>
      </c>
      <c r="K112">
        <v>150</v>
      </c>
      <c r="L112">
        <f t="shared" si="12"/>
        <v>6.4217896679750153</v>
      </c>
      <c r="M112" s="2">
        <f t="shared" si="13"/>
        <v>8.701116803868457</v>
      </c>
      <c r="N112">
        <f t="shared" si="14"/>
        <v>6.7914612952213593</v>
      </c>
      <c r="O112">
        <f t="shared" si="15"/>
        <v>13.759052872973621</v>
      </c>
      <c r="P112" s="4">
        <f t="shared" si="16"/>
        <v>9.6044482261164799</v>
      </c>
      <c r="Q112" s="4">
        <f t="shared" si="17"/>
        <v>7.3420097143071903</v>
      </c>
      <c r="S112">
        <v>50</v>
      </c>
      <c r="T112">
        <v>150</v>
      </c>
      <c r="U112" s="6">
        <f t="shared" si="18"/>
        <v>6.4215260979196032</v>
      </c>
      <c r="V112" s="7">
        <f t="shared" si="19"/>
        <v>8.6987909743139209</v>
      </c>
      <c r="W112" s="6">
        <f t="shared" si="20"/>
        <v>6.7948142104653346</v>
      </c>
      <c r="X112" s="6">
        <f t="shared" si="21"/>
        <v>13.752277125362184</v>
      </c>
      <c r="Y112" s="5">
        <f t="shared" si="22"/>
        <v>9.6037119527331107</v>
      </c>
      <c r="Z112" s="5">
        <f t="shared" si="23"/>
        <v>7.3409135597131447</v>
      </c>
    </row>
    <row r="113" spans="10:26" x14ac:dyDescent="0.25">
      <c r="J113">
        <v>50</v>
      </c>
      <c r="K113">
        <v>160</v>
      </c>
      <c r="L113">
        <f t="shared" si="12"/>
        <v>6.4217896679750153</v>
      </c>
      <c r="M113" s="2">
        <f t="shared" si="13"/>
        <v>8.105973413218436</v>
      </c>
      <c r="N113">
        <f t="shared" si="14"/>
        <v>6.7914612952213593</v>
      </c>
      <c r="O113">
        <f t="shared" si="15"/>
        <v>13.481532952213183</v>
      </c>
      <c r="P113" s="4">
        <f t="shared" si="16"/>
        <v>9.4924066545848138</v>
      </c>
      <c r="Q113" s="4">
        <f t="shared" si="17"/>
        <v>7.1017357887727677</v>
      </c>
      <c r="S113">
        <v>50</v>
      </c>
      <c r="T113">
        <v>160</v>
      </c>
      <c r="U113" s="6">
        <f t="shared" si="18"/>
        <v>6.4215260979196032</v>
      </c>
      <c r="V113" s="7">
        <f t="shared" si="19"/>
        <v>8.1047867132184344</v>
      </c>
      <c r="W113" s="6">
        <f t="shared" si="20"/>
        <v>6.7948142104653346</v>
      </c>
      <c r="X113" s="6">
        <f t="shared" si="21"/>
        <v>13.475288389436658</v>
      </c>
      <c r="Y113" s="5">
        <f t="shared" si="22"/>
        <v>9.4918848334955879</v>
      </c>
      <c r="Z113" s="5">
        <f t="shared" si="23"/>
        <v>7.1010995286076284</v>
      </c>
    </row>
    <row r="114" spans="10:26" x14ac:dyDescent="0.25">
      <c r="J114">
        <v>50</v>
      </c>
      <c r="K114">
        <v>170</v>
      </c>
      <c r="L114">
        <f t="shared" si="12"/>
        <v>6.4217896679750153</v>
      </c>
      <c r="M114" s="2">
        <f t="shared" si="13"/>
        <v>7.568062416458643</v>
      </c>
      <c r="N114">
        <f t="shared" si="14"/>
        <v>6.7914612952213593</v>
      </c>
      <c r="O114">
        <f t="shared" si="15"/>
        <v>13.104883617396077</v>
      </c>
      <c r="P114" s="4">
        <f t="shared" si="16"/>
        <v>9.3403441169708259</v>
      </c>
      <c r="Q114" s="4">
        <f t="shared" si="17"/>
        <v>6.8845679787792031</v>
      </c>
      <c r="S114">
        <v>50</v>
      </c>
      <c r="T114">
        <v>170</v>
      </c>
      <c r="U114" s="6">
        <f t="shared" si="18"/>
        <v>6.4215260979196032</v>
      </c>
      <c r="V114" s="7">
        <f t="shared" si="19"/>
        <v>7.5679053007970456</v>
      </c>
      <c r="W114" s="6">
        <f t="shared" si="20"/>
        <v>6.7948142104653346</v>
      </c>
      <c r="X114" s="6">
        <f t="shared" si="21"/>
        <v>13.099359977334526</v>
      </c>
      <c r="Y114" s="5">
        <f t="shared" si="22"/>
        <v>9.3401133499930218</v>
      </c>
      <c r="Z114" s="5">
        <f t="shared" si="23"/>
        <v>6.8843473869631433</v>
      </c>
    </row>
    <row r="115" spans="10:26" x14ac:dyDescent="0.25">
      <c r="J115">
        <v>50</v>
      </c>
      <c r="K115">
        <v>180</v>
      </c>
      <c r="L115">
        <f t="shared" si="12"/>
        <v>6.4217896679750153</v>
      </c>
      <c r="M115" s="2">
        <f t="shared" si="13"/>
        <v>7.1037279670295259</v>
      </c>
      <c r="N115">
        <f t="shared" si="14"/>
        <v>6.7914612952213593</v>
      </c>
      <c r="O115">
        <f t="shared" si="15"/>
        <v>12.640549167966959</v>
      </c>
      <c r="P115" s="4">
        <f t="shared" si="16"/>
        <v>9.1528809565325595</v>
      </c>
      <c r="Q115" s="4">
        <f t="shared" si="17"/>
        <v>6.6971048183409359</v>
      </c>
      <c r="S115">
        <v>50</v>
      </c>
      <c r="T115">
        <v>180</v>
      </c>
      <c r="U115" s="6">
        <f t="shared" si="18"/>
        <v>6.4215260979196032</v>
      </c>
      <c r="V115" s="7">
        <f t="shared" si="19"/>
        <v>7.1044596070910764</v>
      </c>
      <c r="W115" s="6">
        <f t="shared" si="20"/>
        <v>6.7948142104653346</v>
      </c>
      <c r="X115" s="6">
        <f t="shared" si="21"/>
        <v>12.635914283628557</v>
      </c>
      <c r="Y115" s="5">
        <f t="shared" si="22"/>
        <v>9.1530090019515598</v>
      </c>
      <c r="Z115" s="5">
        <f t="shared" si="23"/>
        <v>6.6972430389216822</v>
      </c>
    </row>
    <row r="116" spans="10:26" x14ac:dyDescent="0.25">
      <c r="J116">
        <v>60</v>
      </c>
      <c r="K116">
        <v>0</v>
      </c>
      <c r="L116">
        <f t="shared" si="12"/>
        <v>5.1558885400000012</v>
      </c>
      <c r="M116" s="2">
        <f t="shared" si="13"/>
        <v>11.347292081006017</v>
      </c>
      <c r="N116">
        <f t="shared" si="14"/>
        <v>7.6778548076576385</v>
      </c>
      <c r="O116">
        <f t="shared" si="15"/>
        <v>9.6691735864844119</v>
      </c>
      <c r="P116" s="4">
        <f t="shared" si="16"/>
        <v>8.4817988444998207</v>
      </c>
      <c r="Q116" s="4">
        <f t="shared" si="17"/>
        <v>7.6555093990007785</v>
      </c>
      <c r="S116">
        <v>60</v>
      </c>
      <c r="T116">
        <v>0</v>
      </c>
      <c r="U116" s="6">
        <f t="shared" si="18"/>
        <v>5.1550000000000002</v>
      </c>
      <c r="V116" s="7">
        <f t="shared" si="19"/>
        <v>11.336255518229493</v>
      </c>
      <c r="W116" s="6">
        <f t="shared" si="20"/>
        <v>7.68164533156797</v>
      </c>
      <c r="X116" s="6">
        <f t="shared" si="21"/>
        <v>9.6727788864844104</v>
      </c>
      <c r="Y116" s="5">
        <f t="shared" si="22"/>
        <v>8.485514588992725</v>
      </c>
      <c r="Z116" s="5">
        <f t="shared" si="23"/>
        <v>7.6505238543003387</v>
      </c>
    </row>
    <row r="117" spans="10:26" x14ac:dyDescent="0.25">
      <c r="J117">
        <v>60</v>
      </c>
      <c r="K117">
        <v>10</v>
      </c>
      <c r="L117">
        <f t="shared" si="12"/>
        <v>5.1558885400000012</v>
      </c>
      <c r="M117" s="2">
        <f t="shared" si="13"/>
        <v>11.624812001766456</v>
      </c>
      <c r="N117">
        <f t="shared" si="14"/>
        <v>7.6778548076576385</v>
      </c>
      <c r="O117">
        <f t="shared" si="15"/>
        <v>10.264316977134433</v>
      </c>
      <c r="P117" s="4">
        <f t="shared" si="16"/>
        <v>8.7220727700342451</v>
      </c>
      <c r="Q117" s="4">
        <f t="shared" si="17"/>
        <v>7.7675509705324455</v>
      </c>
      <c r="S117">
        <v>60</v>
      </c>
      <c r="T117">
        <v>10</v>
      </c>
      <c r="U117" s="6">
        <f t="shared" si="18"/>
        <v>5.1550000000000002</v>
      </c>
      <c r="V117" s="7">
        <f t="shared" si="19"/>
        <v>11.613244254155019</v>
      </c>
      <c r="W117" s="6">
        <f t="shared" si="20"/>
        <v>7.68164533156797</v>
      </c>
      <c r="X117" s="6">
        <f t="shared" si="21"/>
        <v>10.266783147579897</v>
      </c>
      <c r="Y117" s="5">
        <f t="shared" si="22"/>
        <v>8.7253286200982423</v>
      </c>
      <c r="Z117" s="5">
        <f t="shared" si="23"/>
        <v>7.7623509735378633</v>
      </c>
    </row>
    <row r="118" spans="10:26" x14ac:dyDescent="0.25">
      <c r="J118">
        <v>60</v>
      </c>
      <c r="K118">
        <v>20</v>
      </c>
      <c r="L118">
        <f t="shared" si="12"/>
        <v>5.1558885400000012</v>
      </c>
      <c r="M118" s="2">
        <f t="shared" si="13"/>
        <v>11.794770206109773</v>
      </c>
      <c r="N118">
        <f t="shared" si="14"/>
        <v>7.6778548076576385</v>
      </c>
      <c r="O118">
        <f t="shared" si="15"/>
        <v>10.898609630906869</v>
      </c>
      <c r="P118" s="4">
        <f t="shared" si="16"/>
        <v>8.9781522094666339</v>
      </c>
      <c r="Q118" s="4">
        <f t="shared" si="17"/>
        <v>7.836167249526568</v>
      </c>
      <c r="S118">
        <v>60</v>
      </c>
      <c r="T118">
        <v>20</v>
      </c>
      <c r="U118" s="6">
        <f t="shared" si="18"/>
        <v>5.1550000000000002</v>
      </c>
      <c r="V118" s="7">
        <f t="shared" si="19"/>
        <v>11.782877151325906</v>
      </c>
      <c r="W118" s="6">
        <f t="shared" si="20"/>
        <v>7.68164533156797</v>
      </c>
      <c r="X118" s="6">
        <f t="shared" si="21"/>
        <v>10.899861738456753</v>
      </c>
      <c r="Y118" s="5">
        <f t="shared" si="22"/>
        <v>8.980917912681404</v>
      </c>
      <c r="Z118" s="5">
        <f t="shared" si="23"/>
        <v>7.8308359180795621</v>
      </c>
    </row>
    <row r="119" spans="10:26" x14ac:dyDescent="0.25">
      <c r="J119">
        <v>60</v>
      </c>
      <c r="K119">
        <v>30</v>
      </c>
      <c r="L119">
        <f t="shared" si="12"/>
        <v>5.1558885400000012</v>
      </c>
      <c r="M119" s="2">
        <f t="shared" si="13"/>
        <v>11.8520026</v>
      </c>
      <c r="N119">
        <f t="shared" si="14"/>
        <v>7.6778548076576385</v>
      </c>
      <c r="O119">
        <f t="shared" si="15"/>
        <v>11.552778886484411</v>
      </c>
      <c r="P119" s="4">
        <f t="shared" si="16"/>
        <v>9.2422563186122879</v>
      </c>
      <c r="Q119" s="4">
        <f t="shared" si="17"/>
        <v>7.859273365067426</v>
      </c>
      <c r="S119">
        <v>60</v>
      </c>
      <c r="T119">
        <v>30</v>
      </c>
      <c r="U119" s="6">
        <f t="shared" si="18"/>
        <v>5.1550000000000002</v>
      </c>
      <c r="V119" s="7">
        <f t="shared" si="19"/>
        <v>11.840000000000003</v>
      </c>
      <c r="W119" s="6">
        <f t="shared" si="20"/>
        <v>7.68164533156797</v>
      </c>
      <c r="X119" s="6">
        <f t="shared" si="21"/>
        <v>11.552778886484411</v>
      </c>
      <c r="Y119" s="5">
        <f t="shared" si="22"/>
        <v>9.244516515421493</v>
      </c>
      <c r="Z119" s="5">
        <f t="shared" si="23"/>
        <v>7.8538978075405943</v>
      </c>
    </row>
    <row r="120" spans="10:26" x14ac:dyDescent="0.25">
      <c r="J120">
        <v>60</v>
      </c>
      <c r="K120">
        <v>40</v>
      </c>
      <c r="L120">
        <f t="shared" si="12"/>
        <v>5.1558885400000012</v>
      </c>
      <c r="M120" s="2">
        <f t="shared" si="13"/>
        <v>11.794770206109773</v>
      </c>
      <c r="N120">
        <f t="shared" si="14"/>
        <v>7.6778548076576385</v>
      </c>
      <c r="O120">
        <f t="shared" si="15"/>
        <v>12.206948142061954</v>
      </c>
      <c r="P120" s="4">
        <f t="shared" si="16"/>
        <v>9.5063604277579401</v>
      </c>
      <c r="Q120" s="4">
        <f t="shared" si="17"/>
        <v>7.836167249526568</v>
      </c>
      <c r="S120">
        <v>60</v>
      </c>
      <c r="T120">
        <v>40</v>
      </c>
      <c r="U120" s="6">
        <f t="shared" si="18"/>
        <v>5.1550000000000002</v>
      </c>
      <c r="V120" s="7">
        <f t="shared" si="19"/>
        <v>11.782877151325906</v>
      </c>
      <c r="W120" s="6">
        <f t="shared" si="20"/>
        <v>7.68164533156797</v>
      </c>
      <c r="X120" s="6">
        <f t="shared" si="21"/>
        <v>12.205696034512069</v>
      </c>
      <c r="Y120" s="5">
        <f t="shared" si="22"/>
        <v>9.5081151181615819</v>
      </c>
      <c r="Z120" s="5">
        <f t="shared" si="23"/>
        <v>7.8308359180795621</v>
      </c>
    </row>
    <row r="121" spans="10:26" x14ac:dyDescent="0.25">
      <c r="J121">
        <v>60</v>
      </c>
      <c r="K121">
        <v>50</v>
      </c>
      <c r="L121">
        <f t="shared" si="12"/>
        <v>5.1558885400000012</v>
      </c>
      <c r="M121" s="2">
        <f t="shared" si="13"/>
        <v>11.624812001766456</v>
      </c>
      <c r="N121">
        <f t="shared" si="14"/>
        <v>7.6778548076576385</v>
      </c>
      <c r="O121">
        <f t="shared" si="15"/>
        <v>12.841240795834389</v>
      </c>
      <c r="P121" s="4">
        <f t="shared" si="16"/>
        <v>9.7624398671903307</v>
      </c>
      <c r="Q121" s="4">
        <f t="shared" si="17"/>
        <v>7.7675509705324455</v>
      </c>
      <c r="S121">
        <v>60</v>
      </c>
      <c r="T121">
        <v>50</v>
      </c>
      <c r="U121" s="6">
        <f t="shared" si="18"/>
        <v>5.1550000000000002</v>
      </c>
      <c r="V121" s="7">
        <f t="shared" si="19"/>
        <v>11.613244254155019</v>
      </c>
      <c r="W121" s="6">
        <f t="shared" si="20"/>
        <v>7.68164533156797</v>
      </c>
      <c r="X121" s="6">
        <f t="shared" si="21"/>
        <v>12.838774625388925</v>
      </c>
      <c r="Y121" s="5">
        <f t="shared" si="22"/>
        <v>9.7637044107447455</v>
      </c>
      <c r="Z121" s="5">
        <f t="shared" si="23"/>
        <v>7.7623509735378633</v>
      </c>
    </row>
    <row r="122" spans="10:26" x14ac:dyDescent="0.25">
      <c r="J122">
        <v>60</v>
      </c>
      <c r="K122">
        <v>60</v>
      </c>
      <c r="L122">
        <f t="shared" si="12"/>
        <v>5.1558885400000012</v>
      </c>
      <c r="M122" s="2">
        <f t="shared" si="13"/>
        <v>11.347292081006017</v>
      </c>
      <c r="N122">
        <f t="shared" si="14"/>
        <v>7.6778548076576385</v>
      </c>
      <c r="O122">
        <f t="shared" si="15"/>
        <v>13.43638418648441</v>
      </c>
      <c r="P122" s="4">
        <f t="shared" si="16"/>
        <v>10.002713792724753</v>
      </c>
      <c r="Q122" s="4">
        <f t="shared" si="17"/>
        <v>7.6555093990007785</v>
      </c>
      <c r="S122">
        <v>60</v>
      </c>
      <c r="T122">
        <v>60</v>
      </c>
      <c r="U122" s="6">
        <f t="shared" si="18"/>
        <v>5.1550000000000002</v>
      </c>
      <c r="V122" s="7">
        <f t="shared" si="19"/>
        <v>11.336255518229493</v>
      </c>
      <c r="W122" s="6">
        <f t="shared" si="20"/>
        <v>7.68164533156797</v>
      </c>
      <c r="X122" s="6">
        <f t="shared" si="21"/>
        <v>13.432778886484412</v>
      </c>
      <c r="Y122" s="5">
        <f t="shared" si="22"/>
        <v>10.003518441850261</v>
      </c>
      <c r="Z122" s="5">
        <f t="shared" si="23"/>
        <v>7.6505238543003387</v>
      </c>
    </row>
    <row r="123" spans="10:26" x14ac:dyDescent="0.25">
      <c r="J123">
        <v>60</v>
      </c>
      <c r="K123">
        <v>70</v>
      </c>
      <c r="L123">
        <f t="shared" si="12"/>
        <v>5.1558885400000012</v>
      </c>
      <c r="M123" s="2">
        <f t="shared" si="13"/>
        <v>10.970642746188911</v>
      </c>
      <c r="N123">
        <f t="shared" si="14"/>
        <v>7.6778548076576385</v>
      </c>
      <c r="O123">
        <f t="shared" si="15"/>
        <v>13.974295183244203</v>
      </c>
      <c r="P123" s="4">
        <f t="shared" si="16"/>
        <v>10.219881602718319</v>
      </c>
      <c r="Q123" s="4">
        <f t="shared" si="17"/>
        <v>7.5034468613867915</v>
      </c>
      <c r="S123">
        <v>60</v>
      </c>
      <c r="T123">
        <v>70</v>
      </c>
      <c r="U123" s="6">
        <f t="shared" si="18"/>
        <v>5.1550000000000002</v>
      </c>
      <c r="V123" s="7">
        <f t="shared" si="19"/>
        <v>10.960327106127361</v>
      </c>
      <c r="W123" s="6">
        <f t="shared" si="20"/>
        <v>7.68164533156797</v>
      </c>
      <c r="X123" s="6">
        <f t="shared" si="21"/>
        <v>13.969660298905801</v>
      </c>
      <c r="Y123" s="5">
        <f t="shared" si="22"/>
        <v>10.220270583494747</v>
      </c>
      <c r="Z123" s="5">
        <f t="shared" si="23"/>
        <v>7.4987523707977726</v>
      </c>
    </row>
    <row r="124" spans="10:26" x14ac:dyDescent="0.25">
      <c r="J124">
        <v>60</v>
      </c>
      <c r="K124">
        <v>80</v>
      </c>
      <c r="L124">
        <f t="shared" si="12"/>
        <v>5.1558885400000012</v>
      </c>
      <c r="M124" s="2">
        <f t="shared" si="13"/>
        <v>10.506308296759794</v>
      </c>
      <c r="N124">
        <f t="shared" si="14"/>
        <v>7.6778548076576385</v>
      </c>
      <c r="O124">
        <f t="shared" si="15"/>
        <v>14.438629632673321</v>
      </c>
      <c r="P124" s="4">
        <f t="shared" si="16"/>
        <v>10.407344763156587</v>
      </c>
      <c r="Q124" s="4">
        <f t="shared" si="17"/>
        <v>7.3159837009485242</v>
      </c>
      <c r="S124">
        <v>60</v>
      </c>
      <c r="T124">
        <v>80</v>
      </c>
      <c r="U124" s="6">
        <f t="shared" si="18"/>
        <v>5.1550000000000002</v>
      </c>
      <c r="V124" s="7">
        <f t="shared" si="19"/>
        <v>10.496881412421391</v>
      </c>
      <c r="W124" s="6">
        <f t="shared" si="20"/>
        <v>7.68164533156797</v>
      </c>
      <c r="X124" s="6">
        <f t="shared" si="21"/>
        <v>14.43310599261177</v>
      </c>
      <c r="Y124" s="5">
        <f t="shared" si="22"/>
        <v>10.407374931536211</v>
      </c>
      <c r="Z124" s="5">
        <f t="shared" si="23"/>
        <v>7.3116480227563114</v>
      </c>
    </row>
    <row r="125" spans="10:26" x14ac:dyDescent="0.25">
      <c r="J125">
        <v>60</v>
      </c>
      <c r="K125">
        <v>90</v>
      </c>
      <c r="L125">
        <f t="shared" si="12"/>
        <v>5.1558885400000012</v>
      </c>
      <c r="M125" s="2">
        <f t="shared" si="13"/>
        <v>9.9683973000000012</v>
      </c>
      <c r="N125">
        <f t="shared" si="14"/>
        <v>7.6778548076576385</v>
      </c>
      <c r="O125">
        <f t="shared" si="15"/>
        <v>14.815278967490427</v>
      </c>
      <c r="P125" s="4">
        <f t="shared" si="16"/>
        <v>10.559407300770573</v>
      </c>
      <c r="Q125" s="4">
        <f t="shared" si="17"/>
        <v>7.0988158909549606</v>
      </c>
      <c r="S125">
        <v>60</v>
      </c>
      <c r="T125">
        <v>90</v>
      </c>
      <c r="U125" s="6">
        <f t="shared" si="18"/>
        <v>5.1550000000000002</v>
      </c>
      <c r="V125" s="7">
        <f t="shared" si="19"/>
        <v>9.9600000000000026</v>
      </c>
      <c r="W125" s="6">
        <f t="shared" si="20"/>
        <v>7.68164533156797</v>
      </c>
      <c r="X125" s="6">
        <f t="shared" si="21"/>
        <v>14.809034404713902</v>
      </c>
      <c r="Y125" s="5">
        <f t="shared" si="22"/>
        <v>10.559146415038775</v>
      </c>
      <c r="Z125" s="5">
        <f t="shared" si="23"/>
        <v>7.0948958811118255</v>
      </c>
    </row>
    <row r="126" spans="10:26" x14ac:dyDescent="0.25">
      <c r="J126">
        <v>60</v>
      </c>
      <c r="K126">
        <v>100</v>
      </c>
      <c r="L126">
        <f t="shared" si="12"/>
        <v>5.1558885400000012</v>
      </c>
      <c r="M126" s="2">
        <f t="shared" si="13"/>
        <v>9.3732539093499803</v>
      </c>
      <c r="N126">
        <f t="shared" si="14"/>
        <v>7.6778548076576385</v>
      </c>
      <c r="O126">
        <f t="shared" si="15"/>
        <v>15.092798888250865</v>
      </c>
      <c r="P126" s="4">
        <f t="shared" si="16"/>
        <v>10.671448872302239</v>
      </c>
      <c r="Q126" s="4">
        <f t="shared" si="17"/>
        <v>6.8585419654205362</v>
      </c>
      <c r="S126">
        <v>60</v>
      </c>
      <c r="T126">
        <v>100</v>
      </c>
      <c r="U126" s="6">
        <f t="shared" si="18"/>
        <v>5.1550000000000002</v>
      </c>
      <c r="V126" s="7">
        <f t="shared" si="19"/>
        <v>9.3659957389045179</v>
      </c>
      <c r="W126" s="6">
        <f t="shared" si="20"/>
        <v>7.68164533156797</v>
      </c>
      <c r="X126" s="6">
        <f t="shared" si="21"/>
        <v>15.086023140639428</v>
      </c>
      <c r="Y126" s="5">
        <f t="shared" si="22"/>
        <v>10.670973534276298</v>
      </c>
      <c r="Z126" s="5">
        <f t="shared" si="23"/>
        <v>6.8550818500063091</v>
      </c>
    </row>
    <row r="127" spans="10:26" x14ac:dyDescent="0.25">
      <c r="J127">
        <v>60</v>
      </c>
      <c r="K127">
        <v>110</v>
      </c>
      <c r="L127">
        <f t="shared" si="12"/>
        <v>5.1558885400000012</v>
      </c>
      <c r="M127" s="2">
        <f t="shared" si="13"/>
        <v>8.7389612555775447</v>
      </c>
      <c r="N127">
        <f t="shared" si="14"/>
        <v>7.6778548076576385</v>
      </c>
      <c r="O127">
        <f t="shared" si="15"/>
        <v>15.262757092594182</v>
      </c>
      <c r="P127" s="4">
        <f t="shared" si="16"/>
        <v>10.740065151296362</v>
      </c>
      <c r="Q127" s="4">
        <f t="shared" si="17"/>
        <v>6.6024625259881464</v>
      </c>
      <c r="S127">
        <v>60</v>
      </c>
      <c r="T127">
        <v>110</v>
      </c>
      <c r="U127" s="6">
        <f t="shared" si="18"/>
        <v>5.1550000000000002</v>
      </c>
      <c r="V127" s="7">
        <f t="shared" si="19"/>
        <v>8.7329171480276599</v>
      </c>
      <c r="W127" s="6">
        <f t="shared" si="20"/>
        <v>7.68164533156797</v>
      </c>
      <c r="X127" s="6">
        <f t="shared" si="21"/>
        <v>15.255656037810315</v>
      </c>
      <c r="Y127" s="5">
        <f t="shared" si="22"/>
        <v>10.739458478817999</v>
      </c>
      <c r="Z127" s="5">
        <f t="shared" si="23"/>
        <v>6.5994925574231473</v>
      </c>
    </row>
    <row r="128" spans="10:26" x14ac:dyDescent="0.25">
      <c r="J128">
        <v>60</v>
      </c>
      <c r="K128">
        <v>120</v>
      </c>
      <c r="L128">
        <f t="shared" si="12"/>
        <v>5.1558885400000012</v>
      </c>
      <c r="M128" s="2">
        <f t="shared" si="13"/>
        <v>8.084792000000002</v>
      </c>
      <c r="N128">
        <f t="shared" si="14"/>
        <v>7.6778548076576385</v>
      </c>
      <c r="O128">
        <f t="shared" si="15"/>
        <v>15.31998948648441</v>
      </c>
      <c r="P128" s="4">
        <f t="shared" si="16"/>
        <v>10.763171266837221</v>
      </c>
      <c r="Q128" s="4">
        <f t="shared" si="17"/>
        <v>6.3383584168424925</v>
      </c>
      <c r="S128">
        <v>60</v>
      </c>
      <c r="T128">
        <v>120</v>
      </c>
      <c r="U128" s="6">
        <f t="shared" si="18"/>
        <v>5.1550000000000002</v>
      </c>
      <c r="V128" s="7">
        <f t="shared" si="19"/>
        <v>8.0800000000000018</v>
      </c>
      <c r="W128" s="6">
        <f t="shared" si="20"/>
        <v>7.68164533156797</v>
      </c>
      <c r="X128" s="6">
        <f t="shared" si="21"/>
        <v>15.312778886484413</v>
      </c>
      <c r="Y128" s="5">
        <f t="shared" si="22"/>
        <v>10.762520368279031</v>
      </c>
      <c r="Z128" s="5">
        <f t="shared" si="23"/>
        <v>6.3358939546830566</v>
      </c>
    </row>
    <row r="129" spans="10:26" x14ac:dyDescent="0.25">
      <c r="J129">
        <v>60</v>
      </c>
      <c r="K129">
        <v>130</v>
      </c>
      <c r="L129">
        <f t="shared" si="12"/>
        <v>5.1558885400000012</v>
      </c>
      <c r="M129" s="2">
        <f t="shared" si="13"/>
        <v>7.4306227444224593</v>
      </c>
      <c r="N129">
        <f t="shared" si="14"/>
        <v>7.6778548076576385</v>
      </c>
      <c r="O129">
        <f t="shared" si="15"/>
        <v>15.262757092594182</v>
      </c>
      <c r="P129" s="4">
        <f t="shared" si="16"/>
        <v>10.740065151296362</v>
      </c>
      <c r="Q129" s="4">
        <f t="shared" si="17"/>
        <v>6.0742543076968403</v>
      </c>
      <c r="S129">
        <v>60</v>
      </c>
      <c r="T129">
        <v>130</v>
      </c>
      <c r="U129" s="6">
        <f t="shared" si="18"/>
        <v>5.1550000000000002</v>
      </c>
      <c r="V129" s="7">
        <f t="shared" si="19"/>
        <v>7.4270828519723437</v>
      </c>
      <c r="W129" s="6">
        <f t="shared" si="20"/>
        <v>7.68164533156797</v>
      </c>
      <c r="X129" s="6">
        <f t="shared" si="21"/>
        <v>15.255656037810315</v>
      </c>
      <c r="Y129" s="5">
        <f t="shared" si="22"/>
        <v>10.739458478817999</v>
      </c>
      <c r="Z129" s="5">
        <f t="shared" si="23"/>
        <v>6.0722953519429677</v>
      </c>
    </row>
    <row r="130" spans="10:26" x14ac:dyDescent="0.25">
      <c r="J130">
        <v>60</v>
      </c>
      <c r="K130">
        <v>140</v>
      </c>
      <c r="L130">
        <f t="shared" si="12"/>
        <v>5.1558885400000012</v>
      </c>
      <c r="M130" s="2">
        <f t="shared" si="13"/>
        <v>6.7963300906500237</v>
      </c>
      <c r="N130">
        <f t="shared" si="14"/>
        <v>7.6778548076576385</v>
      </c>
      <c r="O130">
        <f t="shared" si="15"/>
        <v>15.092798888250865</v>
      </c>
      <c r="P130" s="4">
        <f t="shared" si="16"/>
        <v>10.671448872302239</v>
      </c>
      <c r="Q130" s="4">
        <f t="shared" si="17"/>
        <v>5.8181748682644496</v>
      </c>
      <c r="S130">
        <v>60</v>
      </c>
      <c r="T130">
        <v>140</v>
      </c>
      <c r="U130" s="6">
        <f t="shared" si="18"/>
        <v>5.1550000000000002</v>
      </c>
      <c r="V130" s="7">
        <f t="shared" si="19"/>
        <v>6.7940042610954867</v>
      </c>
      <c r="W130" s="6">
        <f t="shared" si="20"/>
        <v>7.68164533156797</v>
      </c>
      <c r="X130" s="6">
        <f t="shared" si="21"/>
        <v>15.086023140639428</v>
      </c>
      <c r="Y130" s="5">
        <f t="shared" si="22"/>
        <v>10.670973534276298</v>
      </c>
      <c r="Z130" s="5">
        <f t="shared" si="23"/>
        <v>5.8167060593598059</v>
      </c>
    </row>
    <row r="131" spans="10:26" x14ac:dyDescent="0.25">
      <c r="J131">
        <v>60</v>
      </c>
      <c r="K131">
        <v>150</v>
      </c>
      <c r="L131">
        <f t="shared" ref="L131:L194" si="24">0.723077+8.86562308*COS(J131*PI()/180)</f>
        <v>5.1558885400000012</v>
      </c>
      <c r="M131" s="2">
        <f t="shared" ref="M131:M194" si="25">1.414792+(13.34*COS(J131*PI()/180))+((17.1072106-13.34)*COS(((K131+J131-90)*PI()/180)))</f>
        <v>6.2011867000000036</v>
      </c>
      <c r="N131">
        <f t="shared" ref="N131:N194" si="26">8.86562308*SIN(J131*PI()/180)</f>
        <v>7.6778548076576385</v>
      </c>
      <c r="O131">
        <f t="shared" ref="O131:O194" si="27">(13.34*SIN(J131*PI()/180))+((17.1072106-13.34)*SIN((K131+J131-90)*PI()/180))</f>
        <v>14.815278967490428</v>
      </c>
      <c r="P131" s="4">
        <f t="shared" ref="P131:P194" si="28">((130*N131)+(88.02*O131))/(130+88.02)</f>
        <v>10.559407300770575</v>
      </c>
      <c r="Q131" s="4">
        <f t="shared" ref="Q131:Q194" si="29">((130*L131)+(88.02*M131))/(130+88.02)</f>
        <v>5.5779009427300279</v>
      </c>
      <c r="S131">
        <v>60</v>
      </c>
      <c r="T131">
        <v>150</v>
      </c>
      <c r="U131" s="6">
        <f t="shared" ref="U131:U194" si="30">0.72+8.87*COS(S131*PI()/180)</f>
        <v>5.1550000000000002</v>
      </c>
      <c r="V131" s="7">
        <f t="shared" ref="V131:V194" si="31">1.41+(13.34*COS(S131*PI()/180))+((17.1-13.34)*COS(((T131+S131-90)*PI()/180)))</f>
        <v>6.200000000000002</v>
      </c>
      <c r="W131" s="6">
        <f t="shared" ref="W131:W194" si="32">8.87*SIN(S131*PI()/180)</f>
        <v>7.68164533156797</v>
      </c>
      <c r="X131" s="6">
        <f t="shared" ref="X131:X194" si="33">(13.34*SIN(S131*PI()/180))+((17.1-13.34)*SIN((T131+S131-90)*PI()/180))</f>
        <v>14.809034404713902</v>
      </c>
      <c r="Y131" s="5">
        <f t="shared" ref="Y131:Y194" si="34">((130*W131)+(88.02*X131))/(130+88.02)</f>
        <v>10.559146415038775</v>
      </c>
      <c r="Z131" s="5">
        <f t="shared" ref="Z131:Z194" si="35">((130*U131)+(88.02*V131))/(130+88.02)</f>
        <v>5.5768920282542904</v>
      </c>
    </row>
    <row r="132" spans="10:26" x14ac:dyDescent="0.25">
      <c r="J132">
        <v>60</v>
      </c>
      <c r="K132">
        <v>160</v>
      </c>
      <c r="L132">
        <f t="shared" si="24"/>
        <v>5.1558885400000012</v>
      </c>
      <c r="M132" s="2">
        <f t="shared" si="25"/>
        <v>5.6632757032402097</v>
      </c>
      <c r="N132">
        <f t="shared" si="26"/>
        <v>7.6778548076576385</v>
      </c>
      <c r="O132">
        <f t="shared" si="27"/>
        <v>14.438629632673321</v>
      </c>
      <c r="P132" s="4">
        <f t="shared" si="28"/>
        <v>10.407344763156587</v>
      </c>
      <c r="Q132" s="4">
        <f t="shared" si="29"/>
        <v>5.3607331327364625</v>
      </c>
      <c r="S132">
        <v>60</v>
      </c>
      <c r="T132">
        <v>160</v>
      </c>
      <c r="U132" s="6">
        <f t="shared" si="30"/>
        <v>5.1550000000000002</v>
      </c>
      <c r="V132" s="7">
        <f t="shared" si="31"/>
        <v>5.6631185875786123</v>
      </c>
      <c r="W132" s="6">
        <f t="shared" si="32"/>
        <v>7.68164533156797</v>
      </c>
      <c r="X132" s="6">
        <f t="shared" si="33"/>
        <v>14.43310599261177</v>
      </c>
      <c r="Y132" s="5">
        <f t="shared" si="34"/>
        <v>10.407374931536211</v>
      </c>
      <c r="Z132" s="5">
        <f t="shared" si="35"/>
        <v>5.3601398866098044</v>
      </c>
    </row>
    <row r="133" spans="10:26" x14ac:dyDescent="0.25">
      <c r="J133">
        <v>60</v>
      </c>
      <c r="K133">
        <v>170</v>
      </c>
      <c r="L133">
        <f t="shared" si="24"/>
        <v>5.1558885400000012</v>
      </c>
      <c r="M133" s="2">
        <f t="shared" si="25"/>
        <v>5.1989412538110926</v>
      </c>
      <c r="N133">
        <f t="shared" si="26"/>
        <v>7.6778548076576385</v>
      </c>
      <c r="O133">
        <f t="shared" si="27"/>
        <v>13.974295183244205</v>
      </c>
      <c r="P133" s="4">
        <f t="shared" si="28"/>
        <v>10.219881602718319</v>
      </c>
      <c r="Q133" s="4">
        <f t="shared" si="29"/>
        <v>5.1732699722981952</v>
      </c>
      <c r="S133">
        <v>60</v>
      </c>
      <c r="T133">
        <v>170</v>
      </c>
      <c r="U133" s="6">
        <f t="shared" si="30"/>
        <v>5.1550000000000002</v>
      </c>
      <c r="V133" s="7">
        <f t="shared" si="31"/>
        <v>5.1996728938726431</v>
      </c>
      <c r="W133" s="6">
        <f t="shared" si="32"/>
        <v>7.68164533156797</v>
      </c>
      <c r="X133" s="6">
        <f t="shared" si="33"/>
        <v>13.969660298905801</v>
      </c>
      <c r="Y133" s="5">
        <f t="shared" si="34"/>
        <v>10.220270583494747</v>
      </c>
      <c r="Z133" s="5">
        <f t="shared" si="35"/>
        <v>5.1730355385683424</v>
      </c>
    </row>
    <row r="134" spans="10:26" x14ac:dyDescent="0.25">
      <c r="J134">
        <v>60</v>
      </c>
      <c r="K134">
        <v>180</v>
      </c>
      <c r="L134">
        <f t="shared" si="24"/>
        <v>5.1558885400000012</v>
      </c>
      <c r="M134" s="2">
        <f t="shared" si="25"/>
        <v>4.8222919189939857</v>
      </c>
      <c r="N134">
        <f t="shared" si="26"/>
        <v>7.6778548076576385</v>
      </c>
      <c r="O134">
        <f t="shared" si="27"/>
        <v>13.43638418648441</v>
      </c>
      <c r="P134" s="4">
        <f t="shared" si="28"/>
        <v>10.002713792724753</v>
      </c>
      <c r="Q134" s="4">
        <f t="shared" si="29"/>
        <v>5.0212074346842073</v>
      </c>
      <c r="S134">
        <v>60</v>
      </c>
      <c r="T134">
        <v>180</v>
      </c>
      <c r="U134" s="6">
        <f t="shared" si="30"/>
        <v>5.1550000000000002</v>
      </c>
      <c r="V134" s="7">
        <f t="shared" si="31"/>
        <v>4.8237444817705111</v>
      </c>
      <c r="W134" s="6">
        <f t="shared" si="32"/>
        <v>7.68164533156797</v>
      </c>
      <c r="X134" s="6">
        <f t="shared" si="33"/>
        <v>13.432778886484412</v>
      </c>
      <c r="Y134" s="5">
        <f t="shared" si="34"/>
        <v>10.003518441850261</v>
      </c>
      <c r="Z134" s="5">
        <f t="shared" si="35"/>
        <v>5.0212640550657763</v>
      </c>
    </row>
    <row r="135" spans="10:26" x14ac:dyDescent="0.25">
      <c r="J135">
        <v>70</v>
      </c>
      <c r="K135">
        <v>0</v>
      </c>
      <c r="L135">
        <f t="shared" si="24"/>
        <v>3.7552986764929575</v>
      </c>
      <c r="M135" s="2">
        <f t="shared" si="25"/>
        <v>9.5173607137308753</v>
      </c>
      <c r="N135">
        <f t="shared" si="26"/>
        <v>8.3309605869452366</v>
      </c>
      <c r="O135">
        <f t="shared" si="27"/>
        <v>11.247037651934038</v>
      </c>
      <c r="P135" s="4">
        <f t="shared" si="28"/>
        <v>9.5082521347863249</v>
      </c>
      <c r="Q135" s="4">
        <f t="shared" si="29"/>
        <v>6.0815838820597934</v>
      </c>
      <c r="S135">
        <v>70</v>
      </c>
      <c r="T135">
        <v>0</v>
      </c>
      <c r="U135" s="6">
        <f t="shared" si="30"/>
        <v>3.7537186712986825</v>
      </c>
      <c r="V135" s="7">
        <f t="shared" si="31"/>
        <v>9.50579296611944</v>
      </c>
      <c r="W135" s="6">
        <f t="shared" si="32"/>
        <v>8.3350735463710066</v>
      </c>
      <c r="X135" s="6">
        <f t="shared" si="33"/>
        <v>11.249503822379502</v>
      </c>
      <c r="Y135" s="5">
        <f t="shared" si="34"/>
        <v>9.5117002452714186</v>
      </c>
      <c r="Z135" s="5">
        <f t="shared" si="35"/>
        <v>6.0759715812616362</v>
      </c>
    </row>
    <row r="136" spans="10:26" x14ac:dyDescent="0.25">
      <c r="J136">
        <v>70</v>
      </c>
      <c r="K136">
        <v>10</v>
      </c>
      <c r="L136">
        <f t="shared" si="24"/>
        <v>3.7552986764929575</v>
      </c>
      <c r="M136" s="2">
        <f t="shared" si="25"/>
        <v>9.6873189180741939</v>
      </c>
      <c r="N136">
        <f t="shared" si="26"/>
        <v>8.3309605869452366</v>
      </c>
      <c r="O136">
        <f t="shared" si="27"/>
        <v>11.881330305706474</v>
      </c>
      <c r="P136" s="4">
        <f t="shared" si="28"/>
        <v>9.7643315742187173</v>
      </c>
      <c r="Q136" s="4">
        <f t="shared" si="29"/>
        <v>6.1502001610539176</v>
      </c>
      <c r="S136">
        <v>70</v>
      </c>
      <c r="T136">
        <v>10</v>
      </c>
      <c r="U136" s="6">
        <f t="shared" si="30"/>
        <v>3.7537186712986825</v>
      </c>
      <c r="V136" s="7">
        <f t="shared" si="31"/>
        <v>9.6754258632903252</v>
      </c>
      <c r="W136" s="6">
        <f t="shared" si="32"/>
        <v>8.3350735463710066</v>
      </c>
      <c r="X136" s="6">
        <f t="shared" si="33"/>
        <v>11.882582413256358</v>
      </c>
      <c r="Y136" s="5">
        <f t="shared" si="34"/>
        <v>9.7672895378545803</v>
      </c>
      <c r="Z136" s="5">
        <f t="shared" si="35"/>
        <v>6.144456525803335</v>
      </c>
    </row>
    <row r="137" spans="10:26" x14ac:dyDescent="0.25">
      <c r="J137">
        <v>70</v>
      </c>
      <c r="K137">
        <v>20</v>
      </c>
      <c r="L137">
        <f t="shared" si="24"/>
        <v>3.7552986764929575</v>
      </c>
      <c r="M137" s="2">
        <f t="shared" si="25"/>
        <v>9.7445513119644218</v>
      </c>
      <c r="N137">
        <f t="shared" si="26"/>
        <v>8.3309605869452366</v>
      </c>
      <c r="O137">
        <f t="shared" si="27"/>
        <v>12.535499561284016</v>
      </c>
      <c r="P137" s="4">
        <f t="shared" si="28"/>
        <v>10.02843568336437</v>
      </c>
      <c r="Q137" s="4">
        <f t="shared" si="29"/>
        <v>6.1733062765947757</v>
      </c>
      <c r="S137">
        <v>70</v>
      </c>
      <c r="T137">
        <v>20</v>
      </c>
      <c r="U137" s="6">
        <f t="shared" si="30"/>
        <v>3.7537186712986825</v>
      </c>
      <c r="V137" s="7">
        <f t="shared" si="31"/>
        <v>9.7325487119644229</v>
      </c>
      <c r="W137" s="6">
        <f t="shared" si="32"/>
        <v>8.3350735463710066</v>
      </c>
      <c r="X137" s="6">
        <f t="shared" si="33"/>
        <v>12.535499561284016</v>
      </c>
      <c r="Y137" s="5">
        <f t="shared" si="34"/>
        <v>10.030888140594671</v>
      </c>
      <c r="Z137" s="5">
        <f t="shared" si="35"/>
        <v>6.1675184152643672</v>
      </c>
    </row>
    <row r="138" spans="10:26" x14ac:dyDescent="0.25">
      <c r="J138">
        <v>70</v>
      </c>
      <c r="K138">
        <v>30</v>
      </c>
      <c r="L138">
        <f t="shared" si="24"/>
        <v>3.7552986764929575</v>
      </c>
      <c r="M138" s="2">
        <f t="shared" si="25"/>
        <v>9.6873189180741939</v>
      </c>
      <c r="N138">
        <f t="shared" si="26"/>
        <v>8.3309605869452366</v>
      </c>
      <c r="O138">
        <f t="shared" si="27"/>
        <v>13.189668816861559</v>
      </c>
      <c r="P138" s="4">
        <f t="shared" si="28"/>
        <v>10.292539792510023</v>
      </c>
      <c r="Q138" s="4">
        <f t="shared" si="29"/>
        <v>6.1502001610539176</v>
      </c>
      <c r="S138">
        <v>70</v>
      </c>
      <c r="T138">
        <v>30</v>
      </c>
      <c r="U138" s="6">
        <f t="shared" si="30"/>
        <v>3.7537186712986825</v>
      </c>
      <c r="V138" s="7">
        <f t="shared" si="31"/>
        <v>9.6754258632903252</v>
      </c>
      <c r="W138" s="6">
        <f t="shared" si="32"/>
        <v>8.3350735463710066</v>
      </c>
      <c r="X138" s="6">
        <f t="shared" si="33"/>
        <v>13.188416709311674</v>
      </c>
      <c r="Y138" s="5">
        <f t="shared" si="34"/>
        <v>10.294486743334762</v>
      </c>
      <c r="Z138" s="5">
        <f t="shared" si="35"/>
        <v>6.144456525803335</v>
      </c>
    </row>
    <row r="139" spans="10:26" x14ac:dyDescent="0.25">
      <c r="J139">
        <v>70</v>
      </c>
      <c r="K139">
        <v>40</v>
      </c>
      <c r="L139">
        <f t="shared" si="24"/>
        <v>3.7552986764929575</v>
      </c>
      <c r="M139" s="2">
        <f t="shared" si="25"/>
        <v>9.5173607137308753</v>
      </c>
      <c r="N139">
        <f t="shared" si="26"/>
        <v>8.3309605869452366</v>
      </c>
      <c r="O139">
        <f t="shared" si="27"/>
        <v>13.823961470633995</v>
      </c>
      <c r="P139" s="4">
        <f t="shared" si="28"/>
        <v>10.548619231942412</v>
      </c>
      <c r="Q139" s="4">
        <f t="shared" si="29"/>
        <v>6.0815838820597934</v>
      </c>
      <c r="S139">
        <v>70</v>
      </c>
      <c r="T139">
        <v>40</v>
      </c>
      <c r="U139" s="6">
        <f t="shared" si="30"/>
        <v>3.7537186712986825</v>
      </c>
      <c r="V139" s="7">
        <f t="shared" si="31"/>
        <v>9.50579296611944</v>
      </c>
      <c r="W139" s="6">
        <f t="shared" si="32"/>
        <v>8.3350735463710066</v>
      </c>
      <c r="X139" s="6">
        <f t="shared" si="33"/>
        <v>13.821495300188531</v>
      </c>
      <c r="Y139" s="5">
        <f t="shared" si="34"/>
        <v>10.550076035917922</v>
      </c>
      <c r="Z139" s="5">
        <f t="shared" si="35"/>
        <v>6.0759715812616362</v>
      </c>
    </row>
    <row r="140" spans="10:26" x14ac:dyDescent="0.25">
      <c r="J140">
        <v>70</v>
      </c>
      <c r="K140">
        <v>50</v>
      </c>
      <c r="L140">
        <f t="shared" si="24"/>
        <v>3.7552986764929575</v>
      </c>
      <c r="M140" s="2">
        <f t="shared" si="25"/>
        <v>9.2398407929704387</v>
      </c>
      <c r="N140">
        <f t="shared" si="26"/>
        <v>8.3309605869452366</v>
      </c>
      <c r="O140">
        <f t="shared" si="27"/>
        <v>14.419104861284016</v>
      </c>
      <c r="P140" s="4">
        <f t="shared" si="28"/>
        <v>10.788893157476837</v>
      </c>
      <c r="Q140" s="4">
        <f t="shared" si="29"/>
        <v>5.9695423105281282</v>
      </c>
      <c r="S140">
        <v>70</v>
      </c>
      <c r="T140">
        <v>50</v>
      </c>
      <c r="U140" s="6">
        <f t="shared" si="30"/>
        <v>3.7537186712986825</v>
      </c>
      <c r="V140" s="7">
        <f t="shared" si="31"/>
        <v>9.2288042301939122</v>
      </c>
      <c r="W140" s="6">
        <f t="shared" si="32"/>
        <v>8.3350735463710066</v>
      </c>
      <c r="X140" s="6">
        <f t="shared" si="33"/>
        <v>14.415499561284017</v>
      </c>
      <c r="Y140" s="5">
        <f t="shared" si="34"/>
        <v>10.789890067023439</v>
      </c>
      <c r="Z140" s="5">
        <f t="shared" si="35"/>
        <v>5.9641444620241124</v>
      </c>
    </row>
    <row r="141" spans="10:26" x14ac:dyDescent="0.25">
      <c r="J141">
        <v>70</v>
      </c>
      <c r="K141">
        <v>60</v>
      </c>
      <c r="L141">
        <f t="shared" si="24"/>
        <v>3.7552986764929575</v>
      </c>
      <c r="M141" s="2">
        <f t="shared" si="25"/>
        <v>8.8631914581533326</v>
      </c>
      <c r="N141">
        <f t="shared" si="26"/>
        <v>8.3309605869452366</v>
      </c>
      <c r="O141">
        <f t="shared" si="27"/>
        <v>14.957015858043809</v>
      </c>
      <c r="P141" s="4">
        <f t="shared" si="28"/>
        <v>11.006060967470402</v>
      </c>
      <c r="Q141" s="4">
        <f t="shared" si="29"/>
        <v>5.8174797729141412</v>
      </c>
      <c r="S141">
        <v>70</v>
      </c>
      <c r="T141">
        <v>60</v>
      </c>
      <c r="U141" s="6">
        <f t="shared" si="30"/>
        <v>3.7537186712986825</v>
      </c>
      <c r="V141" s="7">
        <f t="shared" si="31"/>
        <v>8.8528758180917801</v>
      </c>
      <c r="W141" s="6">
        <f t="shared" si="32"/>
        <v>8.3350735463710066</v>
      </c>
      <c r="X141" s="6">
        <f t="shared" si="33"/>
        <v>14.952380973705406</v>
      </c>
      <c r="Y141" s="5">
        <f t="shared" si="34"/>
        <v>11.006642208667923</v>
      </c>
      <c r="Z141" s="5">
        <f t="shared" si="35"/>
        <v>5.8123729785215454</v>
      </c>
    </row>
    <row r="142" spans="10:26" x14ac:dyDescent="0.25">
      <c r="J142">
        <v>70</v>
      </c>
      <c r="K142">
        <v>70</v>
      </c>
      <c r="L142">
        <f t="shared" si="24"/>
        <v>3.7552986764929575</v>
      </c>
      <c r="M142" s="2">
        <f t="shared" si="25"/>
        <v>8.3988570087242156</v>
      </c>
      <c r="N142">
        <f t="shared" si="26"/>
        <v>8.3309605869452366</v>
      </c>
      <c r="O142">
        <f t="shared" si="27"/>
        <v>15.421350307472926</v>
      </c>
      <c r="P142" s="4">
        <f t="shared" si="28"/>
        <v>11.19352412790867</v>
      </c>
      <c r="Q142" s="4">
        <f t="shared" si="29"/>
        <v>5.6300166124758739</v>
      </c>
      <c r="S142">
        <v>70</v>
      </c>
      <c r="T142">
        <v>70</v>
      </c>
      <c r="U142" s="6">
        <f t="shared" si="30"/>
        <v>3.7537186712986825</v>
      </c>
      <c r="V142" s="7">
        <f t="shared" si="31"/>
        <v>8.3894301243858109</v>
      </c>
      <c r="W142" s="6">
        <f t="shared" si="32"/>
        <v>8.3350735463710066</v>
      </c>
      <c r="X142" s="6">
        <f t="shared" si="33"/>
        <v>15.415826667411375</v>
      </c>
      <c r="Y142" s="5">
        <f t="shared" si="34"/>
        <v>11.193746556709385</v>
      </c>
      <c r="Z142" s="5">
        <f t="shared" si="35"/>
        <v>5.6252686304800834</v>
      </c>
    </row>
    <row r="143" spans="10:26" x14ac:dyDescent="0.25">
      <c r="J143">
        <v>70</v>
      </c>
      <c r="K143">
        <v>80</v>
      </c>
      <c r="L143">
        <f t="shared" si="24"/>
        <v>3.7552986764929575</v>
      </c>
      <c r="M143" s="2">
        <f t="shared" si="25"/>
        <v>7.8609460119644226</v>
      </c>
      <c r="N143">
        <f t="shared" si="26"/>
        <v>8.3309605869452366</v>
      </c>
      <c r="O143">
        <f t="shared" si="27"/>
        <v>15.797999642290032</v>
      </c>
      <c r="P143" s="4">
        <f t="shared" si="28"/>
        <v>11.345586665522656</v>
      </c>
      <c r="Q143" s="4">
        <f t="shared" si="29"/>
        <v>5.4128488024823085</v>
      </c>
      <c r="S143">
        <v>70</v>
      </c>
      <c r="T143">
        <v>80</v>
      </c>
      <c r="U143" s="6">
        <f t="shared" si="30"/>
        <v>3.7537186712986825</v>
      </c>
      <c r="V143" s="7">
        <f t="shared" si="31"/>
        <v>7.8525487119644239</v>
      </c>
      <c r="W143" s="6">
        <f t="shared" si="32"/>
        <v>8.3350735463710066</v>
      </c>
      <c r="X143" s="6">
        <f t="shared" si="33"/>
        <v>15.791755079513507</v>
      </c>
      <c r="Y143" s="5">
        <f t="shared" si="34"/>
        <v>11.345518040211953</v>
      </c>
      <c r="Z143" s="5">
        <f t="shared" si="35"/>
        <v>5.4085164888355992</v>
      </c>
    </row>
    <row r="144" spans="10:26" x14ac:dyDescent="0.25">
      <c r="J144">
        <v>70</v>
      </c>
      <c r="K144">
        <v>90</v>
      </c>
      <c r="L144">
        <f t="shared" si="24"/>
        <v>3.7552986764929575</v>
      </c>
      <c r="M144" s="2">
        <f t="shared" si="25"/>
        <v>7.2658026213144007</v>
      </c>
      <c r="N144">
        <f t="shared" si="26"/>
        <v>8.3309605869452366</v>
      </c>
      <c r="O144">
        <f t="shared" si="27"/>
        <v>16.07551956305047</v>
      </c>
      <c r="P144" s="4">
        <f t="shared" si="28"/>
        <v>11.457628237054323</v>
      </c>
      <c r="Q144" s="4">
        <f t="shared" si="29"/>
        <v>5.1725748769478859</v>
      </c>
      <c r="S144">
        <v>70</v>
      </c>
      <c r="T144">
        <v>90</v>
      </c>
      <c r="U144" s="6">
        <f t="shared" si="30"/>
        <v>3.7537186712986825</v>
      </c>
      <c r="V144" s="7">
        <f t="shared" si="31"/>
        <v>7.2585444508689374</v>
      </c>
      <c r="W144" s="6">
        <f t="shared" si="32"/>
        <v>8.3350735463710066</v>
      </c>
      <c r="X144" s="6">
        <f t="shared" si="33"/>
        <v>16.068743815439035</v>
      </c>
      <c r="Y144" s="5">
        <f t="shared" si="34"/>
        <v>11.457345159449474</v>
      </c>
      <c r="Z144" s="5">
        <f t="shared" si="35"/>
        <v>5.1687024577300829</v>
      </c>
    </row>
    <row r="145" spans="10:26" x14ac:dyDescent="0.25">
      <c r="J145">
        <v>70</v>
      </c>
      <c r="K145">
        <v>100</v>
      </c>
      <c r="L145">
        <f t="shared" si="24"/>
        <v>3.7552986764929575</v>
      </c>
      <c r="M145" s="2">
        <f t="shared" si="25"/>
        <v>6.631509967541966</v>
      </c>
      <c r="N145">
        <f t="shared" si="26"/>
        <v>8.3309605869452366</v>
      </c>
      <c r="O145">
        <f t="shared" si="27"/>
        <v>16.245477767393787</v>
      </c>
      <c r="P145" s="4">
        <f t="shared" si="28"/>
        <v>11.526244516048445</v>
      </c>
      <c r="Q145" s="4">
        <f t="shared" si="29"/>
        <v>4.9164954375154961</v>
      </c>
      <c r="S145">
        <v>70</v>
      </c>
      <c r="T145">
        <v>100</v>
      </c>
      <c r="U145" s="6">
        <f t="shared" si="30"/>
        <v>3.7537186712986825</v>
      </c>
      <c r="V145" s="7">
        <f t="shared" si="31"/>
        <v>6.6254658599920813</v>
      </c>
      <c r="W145" s="6">
        <f t="shared" si="32"/>
        <v>8.3350735463710066</v>
      </c>
      <c r="X145" s="6">
        <f t="shared" si="33"/>
        <v>16.23837671260992</v>
      </c>
      <c r="Y145" s="5">
        <f t="shared" si="34"/>
        <v>11.525830103991174</v>
      </c>
      <c r="Z145" s="5">
        <f t="shared" si="35"/>
        <v>4.913113165146922</v>
      </c>
    </row>
    <row r="146" spans="10:26" x14ac:dyDescent="0.25">
      <c r="J146">
        <v>70</v>
      </c>
      <c r="K146">
        <v>110</v>
      </c>
      <c r="L146">
        <f t="shared" si="24"/>
        <v>3.7552986764929575</v>
      </c>
      <c r="M146" s="2">
        <f t="shared" si="25"/>
        <v>5.9773407119644224</v>
      </c>
      <c r="N146">
        <f t="shared" si="26"/>
        <v>8.3309605869452366</v>
      </c>
      <c r="O146">
        <f t="shared" si="27"/>
        <v>16.302710161284015</v>
      </c>
      <c r="P146" s="4">
        <f t="shared" si="28"/>
        <v>11.549350631589304</v>
      </c>
      <c r="Q146" s="4">
        <f t="shared" si="29"/>
        <v>4.6523913283698421</v>
      </c>
      <c r="S146">
        <v>70</v>
      </c>
      <c r="T146">
        <v>110</v>
      </c>
      <c r="U146" s="6">
        <f t="shared" si="30"/>
        <v>3.7537186712986825</v>
      </c>
      <c r="V146" s="7">
        <f t="shared" si="31"/>
        <v>5.9725487119644223</v>
      </c>
      <c r="W146" s="6">
        <f t="shared" si="32"/>
        <v>8.3350735463710066</v>
      </c>
      <c r="X146" s="6">
        <f t="shared" si="33"/>
        <v>16.295499561284018</v>
      </c>
      <c r="Y146" s="5">
        <f t="shared" si="34"/>
        <v>11.548891993452207</v>
      </c>
      <c r="Z146" s="5">
        <f t="shared" si="35"/>
        <v>4.6495145624068313</v>
      </c>
    </row>
    <row r="147" spans="10:26" x14ac:dyDescent="0.25">
      <c r="J147">
        <v>70</v>
      </c>
      <c r="K147">
        <v>120</v>
      </c>
      <c r="L147">
        <f t="shared" si="24"/>
        <v>3.7552986764929575</v>
      </c>
      <c r="M147" s="2">
        <f t="shared" si="25"/>
        <v>5.3231714563868797</v>
      </c>
      <c r="N147">
        <f t="shared" si="26"/>
        <v>8.3309605869452366</v>
      </c>
      <c r="O147">
        <f t="shared" si="27"/>
        <v>16.245477767393787</v>
      </c>
      <c r="P147" s="4">
        <f t="shared" si="28"/>
        <v>11.526244516048445</v>
      </c>
      <c r="Q147" s="4">
        <f t="shared" si="29"/>
        <v>4.3882872192241891</v>
      </c>
      <c r="S147">
        <v>70</v>
      </c>
      <c r="T147">
        <v>120</v>
      </c>
      <c r="U147" s="6">
        <f t="shared" si="30"/>
        <v>3.7537186712986825</v>
      </c>
      <c r="V147" s="7">
        <f t="shared" si="31"/>
        <v>5.3196315639367642</v>
      </c>
      <c r="W147" s="6">
        <f t="shared" si="32"/>
        <v>8.3350735463710066</v>
      </c>
      <c r="X147" s="6">
        <f t="shared" si="33"/>
        <v>16.23837671260992</v>
      </c>
      <c r="Y147" s="5">
        <f t="shared" si="34"/>
        <v>11.525830103991174</v>
      </c>
      <c r="Z147" s="5">
        <f t="shared" si="35"/>
        <v>4.3859159596667405</v>
      </c>
    </row>
    <row r="148" spans="10:26" x14ac:dyDescent="0.25">
      <c r="J148">
        <v>70</v>
      </c>
      <c r="K148">
        <v>130</v>
      </c>
      <c r="L148">
        <f t="shared" si="24"/>
        <v>3.7552986764929575</v>
      </c>
      <c r="M148" s="2">
        <f t="shared" si="25"/>
        <v>4.688878802614445</v>
      </c>
      <c r="N148">
        <f t="shared" si="26"/>
        <v>8.3309605869452366</v>
      </c>
      <c r="O148">
        <f t="shared" si="27"/>
        <v>16.07551956305047</v>
      </c>
      <c r="P148" s="4">
        <f t="shared" si="28"/>
        <v>11.457628237054323</v>
      </c>
      <c r="Q148" s="4">
        <f t="shared" si="29"/>
        <v>4.1322077797917993</v>
      </c>
      <c r="S148">
        <v>70</v>
      </c>
      <c r="T148">
        <v>130</v>
      </c>
      <c r="U148" s="6">
        <f t="shared" si="30"/>
        <v>3.7537186712986825</v>
      </c>
      <c r="V148" s="7">
        <f t="shared" si="31"/>
        <v>4.6865529730599071</v>
      </c>
      <c r="W148" s="6">
        <f t="shared" si="32"/>
        <v>8.3350735463710066</v>
      </c>
      <c r="X148" s="6">
        <f t="shared" si="33"/>
        <v>16.068743815439035</v>
      </c>
      <c r="Y148" s="5">
        <f t="shared" si="34"/>
        <v>11.457345159449474</v>
      </c>
      <c r="Z148" s="5">
        <f t="shared" si="35"/>
        <v>4.1303266670835788</v>
      </c>
    </row>
    <row r="149" spans="10:26" x14ac:dyDescent="0.25">
      <c r="J149">
        <v>70</v>
      </c>
      <c r="K149">
        <v>140</v>
      </c>
      <c r="L149">
        <f t="shared" si="24"/>
        <v>3.7552986764929575</v>
      </c>
      <c r="M149" s="2">
        <f t="shared" si="25"/>
        <v>4.093735411964424</v>
      </c>
      <c r="N149">
        <f t="shared" si="26"/>
        <v>8.3309605869452366</v>
      </c>
      <c r="O149">
        <f t="shared" si="27"/>
        <v>15.797999642290034</v>
      </c>
      <c r="P149" s="4">
        <f t="shared" si="28"/>
        <v>11.345586665522658</v>
      </c>
      <c r="Q149" s="4">
        <f t="shared" si="29"/>
        <v>3.8919338542573763</v>
      </c>
      <c r="S149">
        <v>70</v>
      </c>
      <c r="T149">
        <v>140</v>
      </c>
      <c r="U149" s="6">
        <f t="shared" si="30"/>
        <v>3.7537186712986825</v>
      </c>
      <c r="V149" s="7">
        <f t="shared" si="31"/>
        <v>4.0925487119644224</v>
      </c>
      <c r="W149" s="6">
        <f t="shared" si="32"/>
        <v>8.3350735463710066</v>
      </c>
      <c r="X149" s="6">
        <f t="shared" si="33"/>
        <v>15.791755079513507</v>
      </c>
      <c r="Y149" s="5">
        <f t="shared" si="34"/>
        <v>11.345518040211953</v>
      </c>
      <c r="Z149" s="5">
        <f t="shared" si="35"/>
        <v>3.8905126359780624</v>
      </c>
    </row>
    <row r="150" spans="10:26" x14ac:dyDescent="0.25">
      <c r="J150">
        <v>70</v>
      </c>
      <c r="K150">
        <v>150</v>
      </c>
      <c r="L150">
        <f t="shared" si="24"/>
        <v>3.7552986764929575</v>
      </c>
      <c r="M150" s="2">
        <f t="shared" si="25"/>
        <v>3.5558244152046297</v>
      </c>
      <c r="N150">
        <f t="shared" si="26"/>
        <v>8.3309605869452366</v>
      </c>
      <c r="O150">
        <f t="shared" si="27"/>
        <v>15.421350307472926</v>
      </c>
      <c r="P150" s="4">
        <f t="shared" si="28"/>
        <v>11.19352412790867</v>
      </c>
      <c r="Q150" s="4">
        <f t="shared" si="29"/>
        <v>3.6747660442638108</v>
      </c>
      <c r="S150">
        <v>70</v>
      </c>
      <c r="T150">
        <v>150</v>
      </c>
      <c r="U150" s="6">
        <f t="shared" si="30"/>
        <v>3.7537186712986825</v>
      </c>
      <c r="V150" s="7">
        <f t="shared" si="31"/>
        <v>3.5556672995430332</v>
      </c>
      <c r="W150" s="6">
        <f t="shared" si="32"/>
        <v>8.3350735463710066</v>
      </c>
      <c r="X150" s="6">
        <f t="shared" si="33"/>
        <v>15.415826667411375</v>
      </c>
      <c r="Y150" s="5">
        <f t="shared" si="34"/>
        <v>11.193746556709385</v>
      </c>
      <c r="Z150" s="5">
        <f t="shared" si="35"/>
        <v>3.6737604943335778</v>
      </c>
    </row>
    <row r="151" spans="10:26" x14ac:dyDescent="0.25">
      <c r="J151">
        <v>70</v>
      </c>
      <c r="K151">
        <v>160</v>
      </c>
      <c r="L151">
        <f t="shared" si="24"/>
        <v>3.7552986764929575</v>
      </c>
      <c r="M151" s="2">
        <f t="shared" si="25"/>
        <v>3.091489965775513</v>
      </c>
      <c r="N151">
        <f t="shared" si="26"/>
        <v>8.3309605869452366</v>
      </c>
      <c r="O151">
        <f t="shared" si="27"/>
        <v>14.95701585804381</v>
      </c>
      <c r="P151" s="4">
        <f t="shared" si="28"/>
        <v>11.006060967470402</v>
      </c>
      <c r="Q151" s="4">
        <f t="shared" si="29"/>
        <v>3.487302883825544</v>
      </c>
      <c r="S151">
        <v>70</v>
      </c>
      <c r="T151">
        <v>160</v>
      </c>
      <c r="U151" s="6">
        <f t="shared" si="30"/>
        <v>3.7537186712986825</v>
      </c>
      <c r="V151" s="7">
        <f t="shared" si="31"/>
        <v>3.092221605837064</v>
      </c>
      <c r="W151" s="6">
        <f t="shared" si="32"/>
        <v>8.3350735463710066</v>
      </c>
      <c r="X151" s="6">
        <f t="shared" si="33"/>
        <v>14.952380973705406</v>
      </c>
      <c r="Y151" s="5">
        <f t="shared" si="34"/>
        <v>11.006642208667923</v>
      </c>
      <c r="Z151" s="5">
        <f t="shared" si="35"/>
        <v>3.4866561462921162</v>
      </c>
    </row>
    <row r="152" spans="10:26" x14ac:dyDescent="0.25">
      <c r="J152">
        <v>70</v>
      </c>
      <c r="K152">
        <v>170</v>
      </c>
      <c r="L152">
        <f t="shared" si="24"/>
        <v>3.7552986764929575</v>
      </c>
      <c r="M152" s="2">
        <f t="shared" si="25"/>
        <v>2.7148406309584061</v>
      </c>
      <c r="N152">
        <f t="shared" si="26"/>
        <v>8.3309605869452366</v>
      </c>
      <c r="O152">
        <f t="shared" si="27"/>
        <v>14.419104861284016</v>
      </c>
      <c r="P152" s="4">
        <f t="shared" si="28"/>
        <v>10.788893157476837</v>
      </c>
      <c r="Q152" s="4">
        <f t="shared" si="29"/>
        <v>3.3352403462115561</v>
      </c>
      <c r="S152">
        <v>70</v>
      </c>
      <c r="T152">
        <v>170</v>
      </c>
      <c r="U152" s="6">
        <f t="shared" si="30"/>
        <v>3.7537186712986825</v>
      </c>
      <c r="V152" s="7">
        <f t="shared" si="31"/>
        <v>2.7162931937349315</v>
      </c>
      <c r="W152" s="6">
        <f t="shared" si="32"/>
        <v>8.3350735463710066</v>
      </c>
      <c r="X152" s="6">
        <f t="shared" si="33"/>
        <v>14.415499561284017</v>
      </c>
      <c r="Y152" s="5">
        <f t="shared" si="34"/>
        <v>10.789890067023439</v>
      </c>
      <c r="Z152" s="5">
        <f t="shared" si="35"/>
        <v>3.3348846627895492</v>
      </c>
    </row>
    <row r="153" spans="10:26" x14ac:dyDescent="0.25">
      <c r="J153">
        <v>70</v>
      </c>
      <c r="K153">
        <v>180</v>
      </c>
      <c r="L153">
        <f t="shared" si="24"/>
        <v>3.7552986764929575</v>
      </c>
      <c r="M153" s="2">
        <f t="shared" si="25"/>
        <v>2.4373207101979695</v>
      </c>
      <c r="N153">
        <f t="shared" si="26"/>
        <v>8.3309605869452366</v>
      </c>
      <c r="O153">
        <f t="shared" si="27"/>
        <v>13.823961470633995</v>
      </c>
      <c r="P153" s="4">
        <f t="shared" si="28"/>
        <v>10.548619231942412</v>
      </c>
      <c r="Q153" s="4">
        <f t="shared" si="29"/>
        <v>3.2231987746798909</v>
      </c>
      <c r="S153">
        <v>70</v>
      </c>
      <c r="T153">
        <v>180</v>
      </c>
      <c r="U153" s="6">
        <f t="shared" si="30"/>
        <v>3.7537186712986825</v>
      </c>
      <c r="V153" s="7">
        <f t="shared" si="31"/>
        <v>2.4393044578094054</v>
      </c>
      <c r="W153" s="6">
        <f t="shared" si="32"/>
        <v>8.3350735463710066</v>
      </c>
      <c r="X153" s="6">
        <f t="shared" si="33"/>
        <v>13.821495300188532</v>
      </c>
      <c r="Y153" s="5">
        <f t="shared" si="34"/>
        <v>10.550076035917922</v>
      </c>
      <c r="Z153" s="5">
        <f t="shared" si="35"/>
        <v>3.2230575435520259</v>
      </c>
    </row>
    <row r="154" spans="10:26" x14ac:dyDescent="0.25">
      <c r="J154">
        <v>80</v>
      </c>
      <c r="K154">
        <v>0</v>
      </c>
      <c r="L154">
        <f t="shared" si="24"/>
        <v>2.262576291723879</v>
      </c>
      <c r="M154" s="2">
        <f t="shared" si="25"/>
        <v>7.4412368961866227</v>
      </c>
      <c r="N154">
        <f t="shared" si="26"/>
        <v>8.7309343444679719</v>
      </c>
      <c r="O154">
        <f t="shared" si="27"/>
        <v>12.483166169605312</v>
      </c>
      <c r="P154" s="4">
        <f t="shared" si="28"/>
        <v>10.245801995365087</v>
      </c>
      <c r="Q154" s="4">
        <f t="shared" si="29"/>
        <v>4.3533280869940878</v>
      </c>
      <c r="S154">
        <v>80</v>
      </c>
      <c r="T154">
        <v>0</v>
      </c>
      <c r="U154" s="6">
        <f t="shared" si="30"/>
        <v>2.2602593359056726</v>
      </c>
      <c r="V154" s="7">
        <f t="shared" si="31"/>
        <v>7.4293438414027557</v>
      </c>
      <c r="W154" s="6">
        <f t="shared" si="32"/>
        <v>8.7352447692182835</v>
      </c>
      <c r="X154" s="6">
        <f t="shared" si="33"/>
        <v>12.484418277155196</v>
      </c>
      <c r="Y154" s="5">
        <f t="shared" si="34"/>
        <v>10.248877702750102</v>
      </c>
      <c r="Z154" s="5">
        <f t="shared" si="35"/>
        <v>4.347145026089386</v>
      </c>
    </row>
    <row r="155" spans="10:26" x14ac:dyDescent="0.25">
      <c r="J155">
        <v>80</v>
      </c>
      <c r="K155">
        <v>10</v>
      </c>
      <c r="L155">
        <f t="shared" si="24"/>
        <v>2.262576291723879</v>
      </c>
      <c r="M155" s="2">
        <f t="shared" si="25"/>
        <v>7.4984692900768506</v>
      </c>
      <c r="N155">
        <f t="shared" si="26"/>
        <v>8.7309343444679719</v>
      </c>
      <c r="O155">
        <f t="shared" si="27"/>
        <v>13.137335425182854</v>
      </c>
      <c r="P155" s="4">
        <f t="shared" si="28"/>
        <v>10.509906104510739</v>
      </c>
      <c r="Q155" s="4">
        <f t="shared" si="29"/>
        <v>4.376434202534945</v>
      </c>
      <c r="S155">
        <v>80</v>
      </c>
      <c r="T155">
        <v>10</v>
      </c>
      <c r="U155" s="6">
        <f t="shared" si="30"/>
        <v>2.2602593359056726</v>
      </c>
      <c r="V155" s="7">
        <f t="shared" si="31"/>
        <v>7.4864666900768535</v>
      </c>
      <c r="W155" s="6">
        <f t="shared" si="32"/>
        <v>8.7352447692182835</v>
      </c>
      <c r="X155" s="6">
        <f t="shared" si="33"/>
        <v>13.137335425182854</v>
      </c>
      <c r="Y155" s="5">
        <f t="shared" si="34"/>
        <v>10.512476305490193</v>
      </c>
      <c r="Z155" s="5">
        <f t="shared" si="35"/>
        <v>4.3702069155504182</v>
      </c>
    </row>
    <row r="156" spans="10:26" x14ac:dyDescent="0.25">
      <c r="J156">
        <v>80</v>
      </c>
      <c r="K156">
        <v>20</v>
      </c>
      <c r="L156">
        <f t="shared" si="24"/>
        <v>2.262576291723879</v>
      </c>
      <c r="M156" s="2">
        <f t="shared" si="25"/>
        <v>7.4412368961866227</v>
      </c>
      <c r="N156">
        <f t="shared" si="26"/>
        <v>8.7309343444679719</v>
      </c>
      <c r="O156">
        <f t="shared" si="27"/>
        <v>13.791504680760397</v>
      </c>
      <c r="P156" s="4">
        <f t="shared" si="28"/>
        <v>10.774010213656391</v>
      </c>
      <c r="Q156" s="4">
        <f t="shared" si="29"/>
        <v>4.3533280869940878</v>
      </c>
      <c r="S156">
        <v>80</v>
      </c>
      <c r="T156">
        <v>20</v>
      </c>
      <c r="U156" s="6">
        <f t="shared" si="30"/>
        <v>2.2602593359056726</v>
      </c>
      <c r="V156" s="7">
        <f t="shared" si="31"/>
        <v>7.4293438414027557</v>
      </c>
      <c r="W156" s="6">
        <f t="shared" si="32"/>
        <v>8.7352447692182835</v>
      </c>
      <c r="X156" s="6">
        <f t="shared" si="33"/>
        <v>13.790252573210513</v>
      </c>
      <c r="Y156" s="5">
        <f t="shared" si="34"/>
        <v>10.776074908230283</v>
      </c>
      <c r="Z156" s="5">
        <f t="shared" si="35"/>
        <v>4.347145026089386</v>
      </c>
    </row>
    <row r="157" spans="10:26" x14ac:dyDescent="0.25">
      <c r="J157">
        <v>80</v>
      </c>
      <c r="K157">
        <v>30</v>
      </c>
      <c r="L157">
        <f t="shared" si="24"/>
        <v>2.262576291723879</v>
      </c>
      <c r="M157" s="2">
        <f t="shared" si="25"/>
        <v>7.271278691843305</v>
      </c>
      <c r="N157">
        <f t="shared" si="26"/>
        <v>8.7309343444679719</v>
      </c>
      <c r="O157">
        <f t="shared" si="27"/>
        <v>14.425797334532833</v>
      </c>
      <c r="P157" s="4">
        <f t="shared" si="28"/>
        <v>11.030089653088783</v>
      </c>
      <c r="Q157" s="4">
        <f t="shared" si="29"/>
        <v>4.2847118079999627</v>
      </c>
      <c r="S157">
        <v>80</v>
      </c>
      <c r="T157">
        <v>30</v>
      </c>
      <c r="U157" s="6">
        <f t="shared" si="30"/>
        <v>2.2602593359056726</v>
      </c>
      <c r="V157" s="7">
        <f t="shared" si="31"/>
        <v>7.2597109442318697</v>
      </c>
      <c r="W157" s="6">
        <f t="shared" si="32"/>
        <v>8.7352447692182835</v>
      </c>
      <c r="X157" s="6">
        <f t="shared" si="33"/>
        <v>14.423331164087369</v>
      </c>
      <c r="Y157" s="5">
        <f t="shared" si="34"/>
        <v>11.031664200813445</v>
      </c>
      <c r="Z157" s="5">
        <f t="shared" si="35"/>
        <v>4.2786600815476872</v>
      </c>
    </row>
    <row r="158" spans="10:26" x14ac:dyDescent="0.25">
      <c r="J158">
        <v>80</v>
      </c>
      <c r="K158">
        <v>40</v>
      </c>
      <c r="L158">
        <f t="shared" si="24"/>
        <v>2.262576291723879</v>
      </c>
      <c r="M158" s="2">
        <f t="shared" si="25"/>
        <v>6.9937587710828684</v>
      </c>
      <c r="N158">
        <f t="shared" si="26"/>
        <v>8.7309343444679719</v>
      </c>
      <c r="O158">
        <f t="shared" si="27"/>
        <v>15.020940725182854</v>
      </c>
      <c r="P158" s="4">
        <f t="shared" si="28"/>
        <v>11.270363578623204</v>
      </c>
      <c r="Q158" s="4">
        <f t="shared" si="29"/>
        <v>4.1726702364682984</v>
      </c>
      <c r="S158">
        <v>80</v>
      </c>
      <c r="T158">
        <v>40</v>
      </c>
      <c r="U158" s="6">
        <f t="shared" si="30"/>
        <v>2.2602593359056726</v>
      </c>
      <c r="V158" s="7">
        <f t="shared" si="31"/>
        <v>6.9827222083063427</v>
      </c>
      <c r="W158" s="6">
        <f t="shared" si="32"/>
        <v>8.7352447692182835</v>
      </c>
      <c r="X158" s="6">
        <f t="shared" si="33"/>
        <v>15.017335425182855</v>
      </c>
      <c r="Y158" s="5">
        <f t="shared" si="34"/>
        <v>11.271478231918961</v>
      </c>
      <c r="Z158" s="5">
        <f t="shared" si="35"/>
        <v>4.1668329623101634</v>
      </c>
    </row>
    <row r="159" spans="10:26" x14ac:dyDescent="0.25">
      <c r="J159">
        <v>80</v>
      </c>
      <c r="K159">
        <v>50</v>
      </c>
      <c r="L159">
        <f t="shared" si="24"/>
        <v>2.262576291723879</v>
      </c>
      <c r="M159" s="2">
        <f t="shared" si="25"/>
        <v>6.6171094362657623</v>
      </c>
      <c r="N159">
        <f t="shared" si="26"/>
        <v>8.7309343444679719</v>
      </c>
      <c r="O159">
        <f t="shared" si="27"/>
        <v>15.558851721942647</v>
      </c>
      <c r="P159" s="4">
        <f t="shared" si="28"/>
        <v>11.48753138861677</v>
      </c>
      <c r="Q159" s="4">
        <f t="shared" si="29"/>
        <v>4.0206076988543105</v>
      </c>
      <c r="S159">
        <v>80</v>
      </c>
      <c r="T159">
        <v>50</v>
      </c>
      <c r="U159" s="6">
        <f t="shared" si="30"/>
        <v>2.2602593359056726</v>
      </c>
      <c r="V159" s="7">
        <f t="shared" si="31"/>
        <v>6.6067937962042098</v>
      </c>
      <c r="W159" s="6">
        <f t="shared" si="32"/>
        <v>8.7352447692182835</v>
      </c>
      <c r="X159" s="6">
        <f t="shared" si="33"/>
        <v>15.554216837604244</v>
      </c>
      <c r="Y159" s="5">
        <f t="shared" si="34"/>
        <v>11.488230373563447</v>
      </c>
      <c r="Z159" s="5">
        <f t="shared" si="35"/>
        <v>4.0150614788075965</v>
      </c>
    </row>
    <row r="160" spans="10:26" x14ac:dyDescent="0.25">
      <c r="J160">
        <v>80</v>
      </c>
      <c r="K160">
        <v>60</v>
      </c>
      <c r="L160">
        <f t="shared" si="24"/>
        <v>2.262576291723879</v>
      </c>
      <c r="M160" s="2">
        <f t="shared" si="25"/>
        <v>6.1527749868366453</v>
      </c>
      <c r="N160">
        <f t="shared" si="26"/>
        <v>8.7309343444679719</v>
      </c>
      <c r="O160">
        <f t="shared" si="27"/>
        <v>16.023186171371766</v>
      </c>
      <c r="P160" s="4">
        <f t="shared" si="28"/>
        <v>11.674994549055038</v>
      </c>
      <c r="Q160" s="4">
        <f t="shared" si="29"/>
        <v>3.8331445384160441</v>
      </c>
      <c r="S160">
        <v>80</v>
      </c>
      <c r="T160">
        <v>60</v>
      </c>
      <c r="U160" s="6">
        <f t="shared" si="30"/>
        <v>2.2602593359056726</v>
      </c>
      <c r="V160" s="7">
        <f t="shared" si="31"/>
        <v>6.1433481024982406</v>
      </c>
      <c r="W160" s="6">
        <f t="shared" si="32"/>
        <v>8.7352447692182835</v>
      </c>
      <c r="X160" s="6">
        <f t="shared" si="33"/>
        <v>16.017662531310211</v>
      </c>
      <c r="Y160" s="5">
        <f t="shared" si="34"/>
        <v>11.675334721604905</v>
      </c>
      <c r="Z160" s="5">
        <f t="shared" si="35"/>
        <v>3.8279571307661344</v>
      </c>
    </row>
    <row r="161" spans="10:26" x14ac:dyDescent="0.25">
      <c r="J161">
        <v>80</v>
      </c>
      <c r="K161">
        <v>70</v>
      </c>
      <c r="L161">
        <f t="shared" si="24"/>
        <v>2.262576291723879</v>
      </c>
      <c r="M161" s="2">
        <f t="shared" si="25"/>
        <v>5.6148639900768522</v>
      </c>
      <c r="N161">
        <f t="shared" si="26"/>
        <v>8.7309343444679719</v>
      </c>
      <c r="O161">
        <f t="shared" si="27"/>
        <v>16.399835506188872</v>
      </c>
      <c r="P161" s="4">
        <f t="shared" si="28"/>
        <v>11.827057086669026</v>
      </c>
      <c r="Q161" s="4">
        <f t="shared" si="29"/>
        <v>3.6159767284224791</v>
      </c>
      <c r="S161">
        <v>80</v>
      </c>
      <c r="T161">
        <v>70</v>
      </c>
      <c r="U161" s="6">
        <f t="shared" si="30"/>
        <v>2.2602593359056726</v>
      </c>
      <c r="V161" s="7">
        <f t="shared" si="31"/>
        <v>5.6064666900768536</v>
      </c>
      <c r="W161" s="6">
        <f t="shared" si="32"/>
        <v>8.7352447692182835</v>
      </c>
      <c r="X161" s="6">
        <f t="shared" si="33"/>
        <v>16.393590943412345</v>
      </c>
      <c r="Y161" s="5">
        <f t="shared" si="34"/>
        <v>11.827106205107475</v>
      </c>
      <c r="Z161" s="5">
        <f t="shared" si="35"/>
        <v>3.6112049891216502</v>
      </c>
    </row>
    <row r="162" spans="10:26" x14ac:dyDescent="0.25">
      <c r="J162">
        <v>80</v>
      </c>
      <c r="K162">
        <v>80</v>
      </c>
      <c r="L162">
        <f t="shared" si="24"/>
        <v>2.262576291723879</v>
      </c>
      <c r="M162" s="2">
        <f t="shared" si="25"/>
        <v>5.0197205994268304</v>
      </c>
      <c r="N162">
        <f t="shared" si="26"/>
        <v>8.7309343444679719</v>
      </c>
      <c r="O162">
        <f t="shared" si="27"/>
        <v>16.677355426949308</v>
      </c>
      <c r="P162" s="4">
        <f t="shared" si="28"/>
        <v>11.939098658200692</v>
      </c>
      <c r="Q162" s="4">
        <f t="shared" si="29"/>
        <v>3.3757028028880556</v>
      </c>
      <c r="S162">
        <v>80</v>
      </c>
      <c r="T162">
        <v>80</v>
      </c>
      <c r="U162" s="6">
        <f t="shared" si="30"/>
        <v>2.2602593359056726</v>
      </c>
      <c r="V162" s="7">
        <f t="shared" si="31"/>
        <v>5.0124624289813671</v>
      </c>
      <c r="W162" s="6">
        <f t="shared" si="32"/>
        <v>8.7352447692182835</v>
      </c>
      <c r="X162" s="6">
        <f t="shared" si="33"/>
        <v>16.67057967933787</v>
      </c>
      <c r="Y162" s="5">
        <f t="shared" si="34"/>
        <v>11.938933324344996</v>
      </c>
      <c r="Z162" s="5">
        <f t="shared" si="35"/>
        <v>3.3713909580161334</v>
      </c>
    </row>
    <row r="163" spans="10:26" x14ac:dyDescent="0.25">
      <c r="J163">
        <v>80</v>
      </c>
      <c r="K163">
        <v>90</v>
      </c>
      <c r="L163">
        <f t="shared" si="24"/>
        <v>2.262576291723879</v>
      </c>
      <c r="M163" s="2">
        <f t="shared" si="25"/>
        <v>4.3854279456543956</v>
      </c>
      <c r="N163">
        <f t="shared" si="26"/>
        <v>8.7309343444679719</v>
      </c>
      <c r="O163">
        <f t="shared" si="27"/>
        <v>16.847313631292625</v>
      </c>
      <c r="P163" s="4">
        <f t="shared" si="28"/>
        <v>12.007714937194816</v>
      </c>
      <c r="Q163" s="4">
        <f t="shared" si="29"/>
        <v>3.1196233634556658</v>
      </c>
      <c r="S163">
        <v>80</v>
      </c>
      <c r="T163">
        <v>90</v>
      </c>
      <c r="U163" s="6">
        <f t="shared" si="30"/>
        <v>2.2602593359056726</v>
      </c>
      <c r="V163" s="7">
        <f t="shared" si="31"/>
        <v>4.3793838381045109</v>
      </c>
      <c r="W163" s="6">
        <f t="shared" si="32"/>
        <v>8.7352447692182835</v>
      </c>
      <c r="X163" s="6">
        <f t="shared" si="33"/>
        <v>16.840212576508758</v>
      </c>
      <c r="Y163" s="5">
        <f t="shared" si="34"/>
        <v>12.007418268886699</v>
      </c>
      <c r="Z163" s="5">
        <f t="shared" si="35"/>
        <v>3.1158016654329721</v>
      </c>
    </row>
    <row r="164" spans="10:26" x14ac:dyDescent="0.25">
      <c r="J164">
        <v>80</v>
      </c>
      <c r="K164">
        <v>100</v>
      </c>
      <c r="L164">
        <f t="shared" si="24"/>
        <v>2.262576291723879</v>
      </c>
      <c r="M164" s="2">
        <f t="shared" si="25"/>
        <v>3.7312586900768525</v>
      </c>
      <c r="N164">
        <f t="shared" si="26"/>
        <v>8.7309343444679719</v>
      </c>
      <c r="O164">
        <f t="shared" si="27"/>
        <v>16.904546025182853</v>
      </c>
      <c r="P164" s="4">
        <f t="shared" si="28"/>
        <v>12.030821052735671</v>
      </c>
      <c r="Q164" s="4">
        <f t="shared" si="29"/>
        <v>2.8555192543100123</v>
      </c>
      <c r="S164">
        <v>80</v>
      </c>
      <c r="T164">
        <v>100</v>
      </c>
      <c r="U164" s="6">
        <f t="shared" si="30"/>
        <v>2.2602593359056726</v>
      </c>
      <c r="V164" s="7">
        <f t="shared" si="31"/>
        <v>3.7264666900768524</v>
      </c>
      <c r="W164" s="6">
        <f t="shared" si="32"/>
        <v>8.7352447692182835</v>
      </c>
      <c r="X164" s="6">
        <f t="shared" si="33"/>
        <v>16.897335425182856</v>
      </c>
      <c r="Y164" s="5">
        <f t="shared" si="34"/>
        <v>12.03048015834773</v>
      </c>
      <c r="Z164" s="5">
        <f t="shared" si="35"/>
        <v>2.8522030626928814</v>
      </c>
    </row>
    <row r="165" spans="10:26" x14ac:dyDescent="0.25">
      <c r="J165">
        <v>80</v>
      </c>
      <c r="K165">
        <v>110</v>
      </c>
      <c r="L165">
        <f t="shared" si="24"/>
        <v>2.262576291723879</v>
      </c>
      <c r="M165" s="2">
        <f t="shared" si="25"/>
        <v>3.0770894344993094</v>
      </c>
      <c r="N165">
        <f t="shared" si="26"/>
        <v>8.7309343444679719</v>
      </c>
      <c r="O165">
        <f t="shared" si="27"/>
        <v>16.847313631292625</v>
      </c>
      <c r="P165" s="4">
        <f t="shared" si="28"/>
        <v>12.007714937194816</v>
      </c>
      <c r="Q165" s="4">
        <f t="shared" si="29"/>
        <v>2.5914151451643588</v>
      </c>
      <c r="S165">
        <v>80</v>
      </c>
      <c r="T165">
        <v>110</v>
      </c>
      <c r="U165" s="6">
        <f t="shared" si="30"/>
        <v>2.2602593359056726</v>
      </c>
      <c r="V165" s="7">
        <f t="shared" si="31"/>
        <v>3.0735495420491938</v>
      </c>
      <c r="W165" s="6">
        <f t="shared" si="32"/>
        <v>8.7352447692182835</v>
      </c>
      <c r="X165" s="6">
        <f t="shared" si="33"/>
        <v>16.840212576508758</v>
      </c>
      <c r="Y165" s="5">
        <f t="shared" si="34"/>
        <v>12.007418268886699</v>
      </c>
      <c r="Z165" s="5">
        <f t="shared" si="35"/>
        <v>2.5886044599527911</v>
      </c>
    </row>
    <row r="166" spans="10:26" x14ac:dyDescent="0.25">
      <c r="J166">
        <v>80</v>
      </c>
      <c r="K166">
        <v>120</v>
      </c>
      <c r="L166">
        <f t="shared" si="24"/>
        <v>2.262576291723879</v>
      </c>
      <c r="M166" s="2">
        <f t="shared" si="25"/>
        <v>2.4427967807268742</v>
      </c>
      <c r="N166">
        <f t="shared" si="26"/>
        <v>8.7309343444679719</v>
      </c>
      <c r="O166">
        <f t="shared" si="27"/>
        <v>16.677355426949308</v>
      </c>
      <c r="P166" s="4">
        <f t="shared" si="28"/>
        <v>11.939098658200692</v>
      </c>
      <c r="Q166" s="4">
        <f t="shared" si="29"/>
        <v>2.3353357057319686</v>
      </c>
      <c r="S166">
        <v>80</v>
      </c>
      <c r="T166">
        <v>120</v>
      </c>
      <c r="U166" s="6">
        <f t="shared" si="30"/>
        <v>2.2602593359056726</v>
      </c>
      <c r="V166" s="7">
        <f t="shared" si="31"/>
        <v>2.4404709511723368</v>
      </c>
      <c r="W166" s="6">
        <f t="shared" si="32"/>
        <v>8.7352447692182835</v>
      </c>
      <c r="X166" s="6">
        <f t="shared" si="33"/>
        <v>16.670579679337873</v>
      </c>
      <c r="Y166" s="5">
        <f t="shared" si="34"/>
        <v>11.938933324344999</v>
      </c>
      <c r="Z166" s="5">
        <f t="shared" si="35"/>
        <v>2.3330151673696293</v>
      </c>
    </row>
    <row r="167" spans="10:26" x14ac:dyDescent="0.25">
      <c r="J167">
        <v>80</v>
      </c>
      <c r="K167">
        <v>130</v>
      </c>
      <c r="L167">
        <f t="shared" si="24"/>
        <v>2.262576291723879</v>
      </c>
      <c r="M167" s="2">
        <f t="shared" si="25"/>
        <v>1.8476533900768537</v>
      </c>
      <c r="N167">
        <f t="shared" si="26"/>
        <v>8.7309343444679719</v>
      </c>
      <c r="O167">
        <f t="shared" si="27"/>
        <v>16.399835506188872</v>
      </c>
      <c r="P167" s="4">
        <f t="shared" si="28"/>
        <v>11.827057086669026</v>
      </c>
      <c r="Q167" s="4">
        <f t="shared" si="29"/>
        <v>2.095061780197546</v>
      </c>
      <c r="S167">
        <v>80</v>
      </c>
      <c r="T167">
        <v>130</v>
      </c>
      <c r="U167" s="6">
        <f t="shared" si="30"/>
        <v>2.2602593359056726</v>
      </c>
      <c r="V167" s="7">
        <f t="shared" si="31"/>
        <v>1.846466690076852</v>
      </c>
      <c r="W167" s="6">
        <f t="shared" si="32"/>
        <v>8.7352447692182835</v>
      </c>
      <c r="X167" s="6">
        <f t="shared" si="33"/>
        <v>16.393590943412345</v>
      </c>
      <c r="Y167" s="5">
        <f t="shared" si="34"/>
        <v>11.827106205107475</v>
      </c>
      <c r="Z167" s="5">
        <f t="shared" si="35"/>
        <v>2.0932011362641134</v>
      </c>
    </row>
    <row r="168" spans="10:26" x14ac:dyDescent="0.25">
      <c r="J168">
        <v>80</v>
      </c>
      <c r="K168">
        <v>140</v>
      </c>
      <c r="L168">
        <f t="shared" si="24"/>
        <v>2.262576291723879</v>
      </c>
      <c r="M168" s="2">
        <f t="shared" si="25"/>
        <v>1.3097423933170593</v>
      </c>
      <c r="N168">
        <f t="shared" si="26"/>
        <v>8.7309343444679719</v>
      </c>
      <c r="O168">
        <f t="shared" si="27"/>
        <v>16.023186171371766</v>
      </c>
      <c r="P168" s="4">
        <f t="shared" si="28"/>
        <v>11.674994549055038</v>
      </c>
      <c r="Q168" s="4">
        <f t="shared" si="29"/>
        <v>1.8778939702039805</v>
      </c>
      <c r="S168">
        <v>80</v>
      </c>
      <c r="T168">
        <v>140</v>
      </c>
      <c r="U168" s="6">
        <f t="shared" si="30"/>
        <v>2.2602593359056726</v>
      </c>
      <c r="V168" s="7">
        <f t="shared" si="31"/>
        <v>1.3095852776554628</v>
      </c>
      <c r="W168" s="6">
        <f t="shared" si="32"/>
        <v>8.7352447692182835</v>
      </c>
      <c r="X168" s="6">
        <f t="shared" si="33"/>
        <v>16.017662531310211</v>
      </c>
      <c r="Y168" s="5">
        <f t="shared" si="34"/>
        <v>11.675334721604905</v>
      </c>
      <c r="Z168" s="5">
        <f t="shared" si="35"/>
        <v>1.8764489946196281</v>
      </c>
    </row>
    <row r="169" spans="10:26" x14ac:dyDescent="0.25">
      <c r="J169">
        <v>80</v>
      </c>
      <c r="K169">
        <v>150</v>
      </c>
      <c r="L169">
        <f t="shared" si="24"/>
        <v>2.262576291723879</v>
      </c>
      <c r="M169" s="2">
        <f t="shared" si="25"/>
        <v>0.84540794388794271</v>
      </c>
      <c r="N169">
        <f t="shared" si="26"/>
        <v>8.7309343444679719</v>
      </c>
      <c r="O169">
        <f t="shared" si="27"/>
        <v>15.558851721942649</v>
      </c>
      <c r="P169" s="4">
        <f t="shared" si="28"/>
        <v>11.487531388616771</v>
      </c>
      <c r="Q169" s="4">
        <f t="shared" si="29"/>
        <v>1.6904308097657144</v>
      </c>
      <c r="S169">
        <v>80</v>
      </c>
      <c r="T169">
        <v>150</v>
      </c>
      <c r="U169" s="6">
        <f t="shared" si="30"/>
        <v>2.2602593359056726</v>
      </c>
      <c r="V169" s="7">
        <f t="shared" si="31"/>
        <v>0.84613958394949362</v>
      </c>
      <c r="W169" s="6">
        <f t="shared" si="32"/>
        <v>8.7352447692182835</v>
      </c>
      <c r="X169" s="6">
        <f t="shared" si="33"/>
        <v>15.554216837604244</v>
      </c>
      <c r="Y169" s="5">
        <f t="shared" si="34"/>
        <v>11.488230373563447</v>
      </c>
      <c r="Z169" s="5">
        <f t="shared" si="35"/>
        <v>1.6893446465781667</v>
      </c>
    </row>
    <row r="170" spans="10:26" x14ac:dyDescent="0.25">
      <c r="J170">
        <v>80</v>
      </c>
      <c r="K170">
        <v>160</v>
      </c>
      <c r="L170">
        <f t="shared" si="24"/>
        <v>2.262576291723879</v>
      </c>
      <c r="M170" s="2">
        <f t="shared" si="25"/>
        <v>0.46875860907083577</v>
      </c>
      <c r="N170">
        <f t="shared" si="26"/>
        <v>8.7309343444679719</v>
      </c>
      <c r="O170">
        <f t="shared" si="27"/>
        <v>15.020940725182854</v>
      </c>
      <c r="P170" s="4">
        <f t="shared" si="28"/>
        <v>11.270363578623204</v>
      </c>
      <c r="Q170" s="4">
        <f t="shared" si="29"/>
        <v>1.5383682721517258</v>
      </c>
      <c r="S170">
        <v>80</v>
      </c>
      <c r="T170">
        <v>160</v>
      </c>
      <c r="U170" s="6">
        <f t="shared" si="30"/>
        <v>2.2602593359056726</v>
      </c>
      <c r="V170" s="7">
        <f t="shared" si="31"/>
        <v>0.47021117184736116</v>
      </c>
      <c r="W170" s="6">
        <f t="shared" si="32"/>
        <v>8.7352447692182835</v>
      </c>
      <c r="X170" s="6">
        <f t="shared" si="33"/>
        <v>15.017335425182855</v>
      </c>
      <c r="Y170" s="5">
        <f t="shared" si="34"/>
        <v>11.271478231918961</v>
      </c>
      <c r="Z170" s="5">
        <f t="shared" si="35"/>
        <v>1.5375731630755995</v>
      </c>
    </row>
    <row r="171" spans="10:26" x14ac:dyDescent="0.25">
      <c r="J171">
        <v>80</v>
      </c>
      <c r="K171">
        <v>170</v>
      </c>
      <c r="L171">
        <f t="shared" si="24"/>
        <v>2.262576291723879</v>
      </c>
      <c r="M171" s="2">
        <f t="shared" si="25"/>
        <v>0.19123868831039914</v>
      </c>
      <c r="N171">
        <f t="shared" si="26"/>
        <v>8.7309343444679719</v>
      </c>
      <c r="O171">
        <f t="shared" si="27"/>
        <v>14.425797334532833</v>
      </c>
      <c r="P171" s="4">
        <f t="shared" si="28"/>
        <v>11.030089653088783</v>
      </c>
      <c r="Q171" s="4">
        <f t="shared" si="29"/>
        <v>1.4263267006200608</v>
      </c>
      <c r="S171">
        <v>80</v>
      </c>
      <c r="T171">
        <v>170</v>
      </c>
      <c r="U171" s="6">
        <f t="shared" si="30"/>
        <v>2.2602593359056726</v>
      </c>
      <c r="V171" s="7">
        <f t="shared" si="31"/>
        <v>0.19322243592183508</v>
      </c>
      <c r="W171" s="6">
        <f t="shared" si="32"/>
        <v>8.7352447692182835</v>
      </c>
      <c r="X171" s="6">
        <f t="shared" si="33"/>
        <v>14.42333116408737</v>
      </c>
      <c r="Y171" s="5">
        <f t="shared" si="34"/>
        <v>11.031664200813447</v>
      </c>
      <c r="Z171" s="5">
        <f t="shared" si="35"/>
        <v>1.4257460438380765</v>
      </c>
    </row>
    <row r="172" spans="10:26" x14ac:dyDescent="0.25">
      <c r="J172">
        <v>80</v>
      </c>
      <c r="K172">
        <v>180</v>
      </c>
      <c r="L172">
        <f t="shared" si="24"/>
        <v>2.262576291723879</v>
      </c>
      <c r="M172" s="2">
        <f t="shared" si="25"/>
        <v>2.1280483967081487E-2</v>
      </c>
      <c r="N172">
        <f t="shared" si="26"/>
        <v>8.7309343444679719</v>
      </c>
      <c r="O172">
        <f t="shared" si="27"/>
        <v>13.791504680760397</v>
      </c>
      <c r="P172" s="4">
        <f t="shared" si="28"/>
        <v>10.774010213656391</v>
      </c>
      <c r="Q172" s="4">
        <f t="shared" si="29"/>
        <v>1.3577104216259372</v>
      </c>
      <c r="S172">
        <v>80</v>
      </c>
      <c r="T172">
        <v>180</v>
      </c>
      <c r="U172" s="6">
        <f t="shared" si="30"/>
        <v>2.2602593359056726</v>
      </c>
      <c r="V172" s="7">
        <f t="shared" si="31"/>
        <v>2.3589538750948158E-2</v>
      </c>
      <c r="W172" s="6">
        <f t="shared" si="32"/>
        <v>8.7352447692182835</v>
      </c>
      <c r="X172" s="6">
        <f t="shared" si="33"/>
        <v>13.790252573210513</v>
      </c>
      <c r="Y172" s="5">
        <f t="shared" si="34"/>
        <v>10.776074908230283</v>
      </c>
      <c r="Z172" s="5">
        <f t="shared" si="35"/>
        <v>1.3572610992963763</v>
      </c>
    </row>
    <row r="173" spans="10:26" x14ac:dyDescent="0.25">
      <c r="J173">
        <v>90</v>
      </c>
      <c r="K173">
        <v>0</v>
      </c>
      <c r="L173">
        <f t="shared" si="24"/>
        <v>0.72307700000000052</v>
      </c>
      <c r="M173" s="2">
        <f t="shared" si="25"/>
        <v>5.1820025999999997</v>
      </c>
      <c r="N173">
        <f t="shared" si="26"/>
        <v>8.8656230800000007</v>
      </c>
      <c r="O173">
        <f t="shared" si="27"/>
        <v>13.34</v>
      </c>
      <c r="P173" s="4">
        <f t="shared" si="28"/>
        <v>10.672038346940647</v>
      </c>
      <c r="Q173" s="4">
        <f t="shared" si="29"/>
        <v>2.5232541915971018</v>
      </c>
      <c r="S173">
        <v>90</v>
      </c>
      <c r="T173">
        <v>0</v>
      </c>
      <c r="U173" s="6">
        <f t="shared" si="30"/>
        <v>0.72000000000000053</v>
      </c>
      <c r="V173" s="7">
        <f t="shared" si="31"/>
        <v>5.1700000000000026</v>
      </c>
      <c r="W173" s="6">
        <f t="shared" si="32"/>
        <v>8.8699999999999992</v>
      </c>
      <c r="X173" s="6">
        <f t="shared" si="33"/>
        <v>13.34</v>
      </c>
      <c r="Y173" s="5">
        <f t="shared" si="34"/>
        <v>10.674648197413081</v>
      </c>
      <c r="Z173" s="5">
        <f t="shared" si="35"/>
        <v>2.5165737088340534</v>
      </c>
    </row>
    <row r="174" spans="10:26" x14ac:dyDescent="0.25">
      <c r="J174">
        <v>90</v>
      </c>
      <c r="K174">
        <v>10</v>
      </c>
      <c r="L174">
        <f t="shared" si="24"/>
        <v>0.72307700000000052</v>
      </c>
      <c r="M174" s="2">
        <f t="shared" si="25"/>
        <v>5.1247702061097717</v>
      </c>
      <c r="N174">
        <f t="shared" si="26"/>
        <v>8.8656230800000007</v>
      </c>
      <c r="O174">
        <f t="shared" si="27"/>
        <v>13.994169255577543</v>
      </c>
      <c r="P174" s="4">
        <f t="shared" si="28"/>
        <v>10.936142456086301</v>
      </c>
      <c r="Q174" s="4">
        <f t="shared" si="29"/>
        <v>2.5001480760562438</v>
      </c>
      <c r="S174">
        <v>90</v>
      </c>
      <c r="T174">
        <v>10</v>
      </c>
      <c r="U174" s="6">
        <f t="shared" si="30"/>
        <v>0.72000000000000053</v>
      </c>
      <c r="V174" s="7">
        <f t="shared" si="31"/>
        <v>5.1128771513259048</v>
      </c>
      <c r="W174" s="6">
        <f t="shared" si="32"/>
        <v>8.8699999999999992</v>
      </c>
      <c r="X174" s="6">
        <f t="shared" si="33"/>
        <v>13.992917148027658</v>
      </c>
      <c r="Y174" s="5">
        <f t="shared" si="34"/>
        <v>10.938246800153172</v>
      </c>
      <c r="Z174" s="5">
        <f t="shared" si="35"/>
        <v>2.4935118193730217</v>
      </c>
    </row>
    <row r="175" spans="10:26" x14ac:dyDescent="0.25">
      <c r="J175">
        <v>90</v>
      </c>
      <c r="K175">
        <v>20</v>
      </c>
      <c r="L175">
        <f t="shared" si="24"/>
        <v>0.72307700000000052</v>
      </c>
      <c r="M175" s="2">
        <f t="shared" si="25"/>
        <v>4.9548120017664541</v>
      </c>
      <c r="N175">
        <f t="shared" si="26"/>
        <v>8.8656230800000007</v>
      </c>
      <c r="O175">
        <f t="shared" si="27"/>
        <v>14.628461909349978</v>
      </c>
      <c r="P175" s="4">
        <f t="shared" si="28"/>
        <v>11.19222189551869</v>
      </c>
      <c r="Q175" s="4">
        <f t="shared" si="29"/>
        <v>2.43153179706212</v>
      </c>
      <c r="S175">
        <v>90</v>
      </c>
      <c r="T175">
        <v>20</v>
      </c>
      <c r="U175" s="6">
        <f t="shared" si="30"/>
        <v>0.72000000000000053</v>
      </c>
      <c r="V175" s="7">
        <f t="shared" si="31"/>
        <v>4.9432442541550179</v>
      </c>
      <c r="W175" s="6">
        <f t="shared" si="32"/>
        <v>8.8699999999999992</v>
      </c>
      <c r="X175" s="6">
        <f t="shared" si="33"/>
        <v>14.625995738904514</v>
      </c>
      <c r="Y175" s="5">
        <f t="shared" si="34"/>
        <v>11.193836092736332</v>
      </c>
      <c r="Z175" s="5">
        <f t="shared" si="35"/>
        <v>2.4250268748313215</v>
      </c>
    </row>
    <row r="176" spans="10:26" x14ac:dyDescent="0.25">
      <c r="J176">
        <v>90</v>
      </c>
      <c r="K176">
        <v>30</v>
      </c>
      <c r="L176">
        <f t="shared" si="24"/>
        <v>0.72307700000000052</v>
      </c>
      <c r="M176" s="2">
        <f t="shared" si="25"/>
        <v>4.6772920810060175</v>
      </c>
      <c r="N176">
        <f t="shared" si="26"/>
        <v>8.8656230800000007</v>
      </c>
      <c r="O176">
        <f t="shared" si="27"/>
        <v>15.223605299999999</v>
      </c>
      <c r="P176" s="4">
        <f t="shared" si="28"/>
        <v>11.432495821053115</v>
      </c>
      <c r="Q176" s="4">
        <f t="shared" si="29"/>
        <v>2.3194902255304548</v>
      </c>
      <c r="S176">
        <v>90</v>
      </c>
      <c r="T176">
        <v>30</v>
      </c>
      <c r="U176" s="6">
        <f t="shared" si="30"/>
        <v>0.72000000000000053</v>
      </c>
      <c r="V176" s="7">
        <f t="shared" si="31"/>
        <v>4.6662555182294918</v>
      </c>
      <c r="W176" s="6">
        <f t="shared" si="32"/>
        <v>8.8699999999999992</v>
      </c>
      <c r="X176" s="6">
        <f t="shared" si="33"/>
        <v>15.22</v>
      </c>
      <c r="Y176" s="5">
        <f t="shared" si="34"/>
        <v>11.433650123841851</v>
      </c>
      <c r="Z176" s="5">
        <f t="shared" si="35"/>
        <v>2.3131997555937986</v>
      </c>
    </row>
    <row r="177" spans="10:26" x14ac:dyDescent="0.25">
      <c r="J177">
        <v>90</v>
      </c>
      <c r="K177">
        <v>40</v>
      </c>
      <c r="L177">
        <f t="shared" si="24"/>
        <v>0.72307700000000052</v>
      </c>
      <c r="M177" s="2">
        <f t="shared" si="25"/>
        <v>4.3006427461889105</v>
      </c>
      <c r="N177">
        <f t="shared" si="26"/>
        <v>8.8656230800000007</v>
      </c>
      <c r="O177">
        <f t="shared" si="27"/>
        <v>15.761516296759792</v>
      </c>
      <c r="P177" s="4">
        <f t="shared" si="28"/>
        <v>11.64966363104668</v>
      </c>
      <c r="Q177" s="4">
        <f t="shared" si="29"/>
        <v>2.1674276879164664</v>
      </c>
      <c r="S177">
        <v>90</v>
      </c>
      <c r="T177">
        <v>40</v>
      </c>
      <c r="U177" s="6">
        <f t="shared" si="30"/>
        <v>0.72000000000000053</v>
      </c>
      <c r="V177" s="7">
        <f t="shared" si="31"/>
        <v>4.2903271061273589</v>
      </c>
      <c r="W177" s="6">
        <f t="shared" si="32"/>
        <v>8.8699999999999992</v>
      </c>
      <c r="X177" s="6">
        <f t="shared" si="33"/>
        <v>15.756881412421389</v>
      </c>
      <c r="Y177" s="5">
        <f t="shared" si="34"/>
        <v>11.650402265486335</v>
      </c>
      <c r="Z177" s="5">
        <f t="shared" si="35"/>
        <v>2.1614282720912312</v>
      </c>
    </row>
    <row r="178" spans="10:26" x14ac:dyDescent="0.25">
      <c r="J178">
        <v>90</v>
      </c>
      <c r="K178">
        <v>50</v>
      </c>
      <c r="L178">
        <f t="shared" si="24"/>
        <v>0.72307700000000052</v>
      </c>
      <c r="M178" s="2">
        <f t="shared" si="25"/>
        <v>3.8363082967597935</v>
      </c>
      <c r="N178">
        <f t="shared" si="26"/>
        <v>8.8656230800000007</v>
      </c>
      <c r="O178">
        <f t="shared" si="27"/>
        <v>16.225850746188911</v>
      </c>
      <c r="P178" s="4">
        <f t="shared" si="28"/>
        <v>11.837126791484948</v>
      </c>
      <c r="Q178" s="4">
        <f t="shared" si="29"/>
        <v>1.9799645274781998</v>
      </c>
      <c r="S178">
        <v>90</v>
      </c>
      <c r="T178">
        <v>50</v>
      </c>
      <c r="U178" s="6">
        <f t="shared" si="30"/>
        <v>0.72000000000000053</v>
      </c>
      <c r="V178" s="7">
        <f t="shared" si="31"/>
        <v>3.8268814124213897</v>
      </c>
      <c r="W178" s="6">
        <f t="shared" si="32"/>
        <v>8.8699999999999992</v>
      </c>
      <c r="X178" s="6">
        <f t="shared" si="33"/>
        <v>16.220327106127357</v>
      </c>
      <c r="Y178" s="5">
        <f t="shared" si="34"/>
        <v>11.837506613527795</v>
      </c>
      <c r="Z178" s="5">
        <f t="shared" si="35"/>
        <v>1.9743239240497699</v>
      </c>
    </row>
    <row r="179" spans="10:26" x14ac:dyDescent="0.25">
      <c r="J179">
        <v>90</v>
      </c>
      <c r="K179">
        <v>60</v>
      </c>
      <c r="L179">
        <f t="shared" si="24"/>
        <v>0.72307700000000052</v>
      </c>
      <c r="M179" s="2">
        <f t="shared" si="25"/>
        <v>3.2983973000000004</v>
      </c>
      <c r="N179">
        <f t="shared" si="26"/>
        <v>8.8656230800000007</v>
      </c>
      <c r="O179">
        <f t="shared" si="27"/>
        <v>16.602500081006017</v>
      </c>
      <c r="P179" s="4">
        <f t="shared" si="28"/>
        <v>11.989189329098936</v>
      </c>
      <c r="Q179" s="4">
        <f t="shared" si="29"/>
        <v>1.7627967174846351</v>
      </c>
      <c r="S179">
        <v>90</v>
      </c>
      <c r="T179">
        <v>60</v>
      </c>
      <c r="U179" s="6">
        <f t="shared" si="30"/>
        <v>0.72000000000000053</v>
      </c>
      <c r="V179" s="7">
        <f t="shared" si="31"/>
        <v>3.2900000000000018</v>
      </c>
      <c r="W179" s="6">
        <f t="shared" si="32"/>
        <v>8.8699999999999992</v>
      </c>
      <c r="X179" s="6">
        <f t="shared" si="33"/>
        <v>16.596255518229491</v>
      </c>
      <c r="Y179" s="5">
        <f t="shared" si="34"/>
        <v>11.989278097030363</v>
      </c>
      <c r="Z179" s="5">
        <f t="shared" si="35"/>
        <v>1.757571782405285</v>
      </c>
    </row>
    <row r="180" spans="10:26" x14ac:dyDescent="0.25">
      <c r="J180">
        <v>90</v>
      </c>
      <c r="K180">
        <v>70</v>
      </c>
      <c r="L180">
        <f t="shared" si="24"/>
        <v>0.72307700000000052</v>
      </c>
      <c r="M180" s="2">
        <f t="shared" si="25"/>
        <v>2.7032539093499794</v>
      </c>
      <c r="N180">
        <f t="shared" si="26"/>
        <v>8.8656230800000007</v>
      </c>
      <c r="O180">
        <f t="shared" si="27"/>
        <v>16.880020001766454</v>
      </c>
      <c r="P180" s="4">
        <f t="shared" si="28"/>
        <v>12.1012309006306</v>
      </c>
      <c r="Q180" s="4">
        <f t="shared" si="29"/>
        <v>1.5225227919502122</v>
      </c>
      <c r="S180">
        <v>90</v>
      </c>
      <c r="T180">
        <v>70</v>
      </c>
      <c r="U180" s="6">
        <f t="shared" si="30"/>
        <v>0.72000000000000053</v>
      </c>
      <c r="V180" s="7">
        <f t="shared" si="31"/>
        <v>2.6959957389045162</v>
      </c>
      <c r="W180" s="6">
        <f t="shared" si="32"/>
        <v>8.8699999999999992</v>
      </c>
      <c r="X180" s="6">
        <f t="shared" si="33"/>
        <v>16.873244254155018</v>
      </c>
      <c r="Y180" s="5">
        <f t="shared" si="34"/>
        <v>12.101105216267888</v>
      </c>
      <c r="Z180" s="5">
        <f t="shared" si="35"/>
        <v>1.5177577512997689</v>
      </c>
    </row>
    <row r="181" spans="10:26" x14ac:dyDescent="0.25">
      <c r="J181">
        <v>90</v>
      </c>
      <c r="K181">
        <v>80</v>
      </c>
      <c r="L181">
        <f t="shared" si="24"/>
        <v>0.72307700000000052</v>
      </c>
      <c r="M181" s="2">
        <f t="shared" si="25"/>
        <v>2.0689612555775443</v>
      </c>
      <c r="N181">
        <f t="shared" si="26"/>
        <v>8.8656230800000007</v>
      </c>
      <c r="O181">
        <f t="shared" si="27"/>
        <v>17.04997820610977</v>
      </c>
      <c r="P181" s="4">
        <f t="shared" si="28"/>
        <v>12.169847179624723</v>
      </c>
      <c r="Q181" s="4">
        <f t="shared" si="29"/>
        <v>1.266443352517822</v>
      </c>
      <c r="S181">
        <v>90</v>
      </c>
      <c r="T181">
        <v>80</v>
      </c>
      <c r="U181" s="6">
        <f t="shared" si="30"/>
        <v>0.72000000000000053</v>
      </c>
      <c r="V181" s="7">
        <f t="shared" si="31"/>
        <v>2.0629171480276596</v>
      </c>
      <c r="W181" s="6">
        <f t="shared" si="32"/>
        <v>8.8699999999999992</v>
      </c>
      <c r="X181" s="6">
        <f t="shared" si="33"/>
        <v>17.042877151325904</v>
      </c>
      <c r="Y181" s="5">
        <f t="shared" si="34"/>
        <v>12.169590160809587</v>
      </c>
      <c r="Z181" s="5">
        <f t="shared" si="35"/>
        <v>1.2621684587166071</v>
      </c>
    </row>
    <row r="182" spans="10:26" x14ac:dyDescent="0.25">
      <c r="J182">
        <v>90</v>
      </c>
      <c r="K182">
        <v>90</v>
      </c>
      <c r="L182">
        <f t="shared" si="24"/>
        <v>0.72307700000000052</v>
      </c>
      <c r="M182" s="2">
        <f t="shared" si="25"/>
        <v>1.4147920000000012</v>
      </c>
      <c r="N182">
        <f t="shared" si="26"/>
        <v>8.8656230800000007</v>
      </c>
      <c r="O182">
        <f t="shared" si="27"/>
        <v>17.107210599999998</v>
      </c>
      <c r="P182" s="4">
        <f t="shared" si="28"/>
        <v>12.192953295165582</v>
      </c>
      <c r="Q182" s="4">
        <f t="shared" si="29"/>
        <v>1.0023392433721685</v>
      </c>
      <c r="S182">
        <v>90</v>
      </c>
      <c r="T182">
        <v>90</v>
      </c>
      <c r="U182" s="6">
        <f t="shared" si="30"/>
        <v>0.72000000000000053</v>
      </c>
      <c r="V182" s="7">
        <f t="shared" si="31"/>
        <v>1.410000000000001</v>
      </c>
      <c r="W182" s="6">
        <f t="shared" si="32"/>
        <v>8.8699999999999992</v>
      </c>
      <c r="X182" s="6">
        <f t="shared" si="33"/>
        <v>17.100000000000001</v>
      </c>
      <c r="Y182" s="5">
        <f t="shared" si="34"/>
        <v>12.192652050270619</v>
      </c>
      <c r="Z182" s="5">
        <f t="shared" si="35"/>
        <v>0.99856985597651671</v>
      </c>
    </row>
    <row r="183" spans="10:26" x14ac:dyDescent="0.25">
      <c r="J183">
        <v>90</v>
      </c>
      <c r="K183">
        <v>100</v>
      </c>
      <c r="L183">
        <f t="shared" si="24"/>
        <v>0.72307700000000052</v>
      </c>
      <c r="M183" s="2">
        <f t="shared" si="25"/>
        <v>0.76062274442245814</v>
      </c>
      <c r="N183">
        <f t="shared" si="26"/>
        <v>8.8656230800000007</v>
      </c>
      <c r="O183">
        <f t="shared" si="27"/>
        <v>17.04997820610977</v>
      </c>
      <c r="P183" s="4">
        <f t="shared" si="28"/>
        <v>12.169847179624723</v>
      </c>
      <c r="Q183" s="4">
        <f t="shared" si="29"/>
        <v>0.73823513422651521</v>
      </c>
      <c r="S183">
        <v>90</v>
      </c>
      <c r="T183">
        <v>100</v>
      </c>
      <c r="U183" s="6">
        <f t="shared" si="30"/>
        <v>0.72000000000000053</v>
      </c>
      <c r="V183" s="7">
        <f t="shared" si="31"/>
        <v>0.7570828519723426</v>
      </c>
      <c r="W183" s="6">
        <f t="shared" si="32"/>
        <v>8.8699999999999992</v>
      </c>
      <c r="X183" s="6">
        <f t="shared" si="33"/>
        <v>17.042877151325904</v>
      </c>
      <c r="Y183" s="5">
        <f t="shared" si="34"/>
        <v>12.169590160809587</v>
      </c>
      <c r="Z183" s="5">
        <f t="shared" si="35"/>
        <v>0.73497125323642631</v>
      </c>
    </row>
    <row r="184" spans="10:26" x14ac:dyDescent="0.25">
      <c r="J184">
        <v>90</v>
      </c>
      <c r="K184">
        <v>110</v>
      </c>
      <c r="L184">
        <f t="shared" si="24"/>
        <v>0.72307700000000052</v>
      </c>
      <c r="M184" s="2">
        <f t="shared" si="25"/>
        <v>0.1263300906500231</v>
      </c>
      <c r="N184">
        <f t="shared" si="26"/>
        <v>8.8656230800000007</v>
      </c>
      <c r="O184">
        <f t="shared" si="27"/>
        <v>16.880020001766454</v>
      </c>
      <c r="P184" s="4">
        <f t="shared" si="28"/>
        <v>12.1012309006306</v>
      </c>
      <c r="Q184" s="4">
        <f t="shared" si="29"/>
        <v>0.48215569479412496</v>
      </c>
      <c r="S184">
        <v>90</v>
      </c>
      <c r="T184">
        <v>110</v>
      </c>
      <c r="U184" s="6">
        <f t="shared" si="30"/>
        <v>0.72000000000000053</v>
      </c>
      <c r="V184" s="7">
        <f t="shared" si="31"/>
        <v>0.1240042610954859</v>
      </c>
      <c r="W184" s="6">
        <f t="shared" si="32"/>
        <v>8.8699999999999992</v>
      </c>
      <c r="X184" s="6">
        <f t="shared" si="33"/>
        <v>16.873244254155018</v>
      </c>
      <c r="Y184" s="5">
        <f t="shared" si="34"/>
        <v>12.101105216267888</v>
      </c>
      <c r="Z184" s="5">
        <f t="shared" si="35"/>
        <v>0.47938196065326455</v>
      </c>
    </row>
    <row r="185" spans="10:26" x14ac:dyDescent="0.25">
      <c r="J185">
        <v>90</v>
      </c>
      <c r="K185">
        <v>120</v>
      </c>
      <c r="L185">
        <f t="shared" si="24"/>
        <v>0.72307700000000052</v>
      </c>
      <c r="M185" s="2">
        <f t="shared" si="25"/>
        <v>-0.46881329999999743</v>
      </c>
      <c r="N185">
        <f t="shared" si="26"/>
        <v>8.8656230800000007</v>
      </c>
      <c r="O185">
        <f t="shared" si="27"/>
        <v>16.602500081006017</v>
      </c>
      <c r="P185" s="4">
        <f t="shared" si="28"/>
        <v>11.989189329098936</v>
      </c>
      <c r="Q185" s="4">
        <f t="shared" si="29"/>
        <v>0.24188176925970234</v>
      </c>
      <c r="S185">
        <v>90</v>
      </c>
      <c r="T185">
        <v>120</v>
      </c>
      <c r="U185" s="6">
        <f t="shared" si="30"/>
        <v>0.72000000000000053</v>
      </c>
      <c r="V185" s="7">
        <f t="shared" si="31"/>
        <v>-0.46999999999999909</v>
      </c>
      <c r="W185" s="6">
        <f t="shared" si="32"/>
        <v>8.8699999999999992</v>
      </c>
      <c r="X185" s="6">
        <f t="shared" si="33"/>
        <v>16.596255518229491</v>
      </c>
      <c r="Y185" s="5">
        <f t="shared" si="34"/>
        <v>11.989278097030363</v>
      </c>
      <c r="Z185" s="5">
        <f t="shared" si="35"/>
        <v>0.23956792954774861</v>
      </c>
    </row>
    <row r="186" spans="10:26" x14ac:dyDescent="0.25">
      <c r="J186">
        <v>90</v>
      </c>
      <c r="K186">
        <v>130</v>
      </c>
      <c r="L186">
        <f t="shared" si="24"/>
        <v>0.72307700000000052</v>
      </c>
      <c r="M186" s="2">
        <f t="shared" si="25"/>
        <v>-1.0067242967597918</v>
      </c>
      <c r="N186">
        <f t="shared" si="26"/>
        <v>8.8656230800000007</v>
      </c>
      <c r="O186">
        <f t="shared" si="27"/>
        <v>16.225850746188911</v>
      </c>
      <c r="P186" s="4">
        <f t="shared" si="28"/>
        <v>11.837126791484948</v>
      </c>
      <c r="Q186" s="4">
        <f t="shared" si="29"/>
        <v>2.4713959266137064E-2</v>
      </c>
      <c r="S186">
        <v>90</v>
      </c>
      <c r="T186">
        <v>130</v>
      </c>
      <c r="U186" s="6">
        <f t="shared" si="30"/>
        <v>0.72000000000000053</v>
      </c>
      <c r="V186" s="7">
        <f t="shared" si="31"/>
        <v>-1.0068814124213883</v>
      </c>
      <c r="W186" s="6">
        <f t="shared" si="32"/>
        <v>8.8699999999999992</v>
      </c>
      <c r="X186" s="6">
        <f t="shared" si="33"/>
        <v>16.220327106127357</v>
      </c>
      <c r="Y186" s="5">
        <f t="shared" si="34"/>
        <v>11.837506613527795</v>
      </c>
      <c r="Z186" s="5">
        <f t="shared" si="35"/>
        <v>2.2815787903263361E-2</v>
      </c>
    </row>
    <row r="187" spans="10:26" x14ac:dyDescent="0.25">
      <c r="J187">
        <v>90</v>
      </c>
      <c r="K187">
        <v>140</v>
      </c>
      <c r="L187">
        <f t="shared" si="24"/>
        <v>0.72307700000000052</v>
      </c>
      <c r="M187" s="2">
        <f t="shared" si="25"/>
        <v>-1.4710587461889084</v>
      </c>
      <c r="N187">
        <f t="shared" si="26"/>
        <v>8.8656230800000007</v>
      </c>
      <c r="O187">
        <f t="shared" si="27"/>
        <v>15.761516296759794</v>
      </c>
      <c r="P187" s="4">
        <f t="shared" si="28"/>
        <v>11.64966363104668</v>
      </c>
      <c r="Q187" s="4">
        <f t="shared" si="29"/>
        <v>-0.1627492011721294</v>
      </c>
      <c r="S187">
        <v>90</v>
      </c>
      <c r="T187">
        <v>140</v>
      </c>
      <c r="U187" s="6">
        <f t="shared" si="30"/>
        <v>0.72000000000000053</v>
      </c>
      <c r="V187" s="7">
        <f t="shared" si="31"/>
        <v>-1.4703271061273575</v>
      </c>
      <c r="W187" s="6">
        <f t="shared" si="32"/>
        <v>8.8699999999999992</v>
      </c>
      <c r="X187" s="6">
        <f t="shared" si="33"/>
        <v>15.756881412421389</v>
      </c>
      <c r="Y187" s="5">
        <f t="shared" si="34"/>
        <v>11.650402265486335</v>
      </c>
      <c r="Z187" s="5">
        <f t="shared" si="35"/>
        <v>-0.16428856013819798</v>
      </c>
    </row>
    <row r="188" spans="10:26" x14ac:dyDescent="0.25">
      <c r="J188">
        <v>90</v>
      </c>
      <c r="K188">
        <v>150</v>
      </c>
      <c r="L188">
        <f t="shared" si="24"/>
        <v>0.72307700000000052</v>
      </c>
      <c r="M188" s="2">
        <f t="shared" si="25"/>
        <v>-1.8477080810060154</v>
      </c>
      <c r="N188">
        <f t="shared" si="26"/>
        <v>8.8656230800000007</v>
      </c>
      <c r="O188">
        <f t="shared" si="27"/>
        <v>15.223605299999999</v>
      </c>
      <c r="P188" s="4">
        <f t="shared" si="28"/>
        <v>11.432495821053115</v>
      </c>
      <c r="Q188" s="4">
        <f t="shared" si="29"/>
        <v>-0.31481173878611785</v>
      </c>
      <c r="S188">
        <v>90</v>
      </c>
      <c r="T188">
        <v>150</v>
      </c>
      <c r="U188" s="6">
        <f t="shared" si="30"/>
        <v>0.72000000000000053</v>
      </c>
      <c r="V188" s="7">
        <f t="shared" si="31"/>
        <v>-1.84625551822949</v>
      </c>
      <c r="W188" s="6">
        <f t="shared" si="32"/>
        <v>8.8699999999999992</v>
      </c>
      <c r="X188" s="6">
        <f t="shared" si="33"/>
        <v>15.22</v>
      </c>
      <c r="Y188" s="5">
        <f t="shared" si="34"/>
        <v>11.433650123841851</v>
      </c>
      <c r="Z188" s="5">
        <f t="shared" si="35"/>
        <v>-0.31606004364076529</v>
      </c>
    </row>
    <row r="189" spans="10:26" x14ac:dyDescent="0.25">
      <c r="J189">
        <v>90</v>
      </c>
      <c r="K189">
        <v>160</v>
      </c>
      <c r="L189">
        <f t="shared" si="24"/>
        <v>0.72307700000000052</v>
      </c>
      <c r="M189" s="2">
        <f t="shared" si="25"/>
        <v>-2.1252280017664518</v>
      </c>
      <c r="N189">
        <f t="shared" si="26"/>
        <v>8.8656230800000007</v>
      </c>
      <c r="O189">
        <f t="shared" si="27"/>
        <v>14.628461909349978</v>
      </c>
      <c r="P189" s="4">
        <f t="shared" si="28"/>
        <v>11.19222189551869</v>
      </c>
      <c r="Q189" s="4">
        <f t="shared" si="29"/>
        <v>-0.42685331031778284</v>
      </c>
      <c r="S189">
        <v>90</v>
      </c>
      <c r="T189">
        <v>160</v>
      </c>
      <c r="U189" s="6">
        <f t="shared" si="30"/>
        <v>0.72000000000000053</v>
      </c>
      <c r="V189" s="7">
        <f t="shared" si="31"/>
        <v>-2.1232442541550158</v>
      </c>
      <c r="W189" s="6">
        <f t="shared" si="32"/>
        <v>8.8699999999999992</v>
      </c>
      <c r="X189" s="6">
        <f t="shared" si="33"/>
        <v>14.625995738904516</v>
      </c>
      <c r="Y189" s="5">
        <f t="shared" si="34"/>
        <v>11.193836092736333</v>
      </c>
      <c r="Z189" s="5">
        <f t="shared" si="35"/>
        <v>-0.42788716287828837</v>
      </c>
    </row>
    <row r="190" spans="10:26" x14ac:dyDescent="0.25">
      <c r="J190">
        <v>90</v>
      </c>
      <c r="K190">
        <v>170</v>
      </c>
      <c r="L190">
        <f t="shared" si="24"/>
        <v>0.72307700000000052</v>
      </c>
      <c r="M190" s="2">
        <f t="shared" si="25"/>
        <v>-2.2951862061097694</v>
      </c>
      <c r="N190">
        <f t="shared" si="26"/>
        <v>8.8656230800000007</v>
      </c>
      <c r="O190">
        <f t="shared" si="27"/>
        <v>13.994169255577543</v>
      </c>
      <c r="P190" s="4">
        <f t="shared" si="28"/>
        <v>10.936142456086301</v>
      </c>
      <c r="Q190" s="4">
        <f t="shared" si="29"/>
        <v>-0.49546958931190643</v>
      </c>
      <c r="S190">
        <v>90</v>
      </c>
      <c r="T190">
        <v>170</v>
      </c>
      <c r="U190" s="6">
        <f t="shared" si="30"/>
        <v>0.72000000000000053</v>
      </c>
      <c r="V190" s="7">
        <f t="shared" si="31"/>
        <v>-2.2928771513259028</v>
      </c>
      <c r="W190" s="6">
        <f t="shared" si="32"/>
        <v>8.8699999999999992</v>
      </c>
      <c r="X190" s="6">
        <f t="shared" si="33"/>
        <v>13.992917148027658</v>
      </c>
      <c r="Y190" s="5">
        <f t="shared" si="34"/>
        <v>10.938246800153172</v>
      </c>
      <c r="Z190" s="5">
        <f t="shared" si="35"/>
        <v>-0.49637210741998855</v>
      </c>
    </row>
    <row r="191" spans="10:26" x14ac:dyDescent="0.25">
      <c r="J191">
        <v>90</v>
      </c>
      <c r="K191">
        <v>180</v>
      </c>
      <c r="L191">
        <f t="shared" si="24"/>
        <v>0.72307700000000052</v>
      </c>
      <c r="M191" s="2">
        <f t="shared" si="25"/>
        <v>-2.3524185999999974</v>
      </c>
      <c r="N191">
        <f t="shared" si="26"/>
        <v>8.8656230800000007</v>
      </c>
      <c r="O191">
        <f t="shared" si="27"/>
        <v>13.34</v>
      </c>
      <c r="P191" s="4">
        <f t="shared" si="28"/>
        <v>10.672038346940647</v>
      </c>
      <c r="Q191" s="4">
        <f t="shared" si="29"/>
        <v>-0.51857570485276439</v>
      </c>
      <c r="S191">
        <v>90</v>
      </c>
      <c r="T191">
        <v>180</v>
      </c>
      <c r="U191" s="6">
        <f t="shared" si="30"/>
        <v>0.72000000000000053</v>
      </c>
      <c r="V191" s="7">
        <f t="shared" si="31"/>
        <v>-2.3500000000000005</v>
      </c>
      <c r="W191" s="6">
        <f t="shared" si="32"/>
        <v>8.8699999999999992</v>
      </c>
      <c r="X191" s="6">
        <f t="shared" si="33"/>
        <v>13.34</v>
      </c>
      <c r="Y191" s="5">
        <f t="shared" si="34"/>
        <v>10.674648197413081</v>
      </c>
      <c r="Z191" s="5">
        <f t="shared" si="35"/>
        <v>-0.51943399688101999</v>
      </c>
    </row>
    <row r="192" spans="10:26" x14ac:dyDescent="0.25">
      <c r="J192">
        <v>100</v>
      </c>
      <c r="K192">
        <v>0</v>
      </c>
      <c r="L192">
        <f t="shared" si="24"/>
        <v>-0.81642229172387792</v>
      </c>
      <c r="M192" s="2">
        <f t="shared" si="25"/>
        <v>2.8083035160329208</v>
      </c>
      <c r="N192">
        <f t="shared" si="26"/>
        <v>8.7309343444679719</v>
      </c>
      <c r="O192">
        <f t="shared" si="27"/>
        <v>13.791504680760397</v>
      </c>
      <c r="P192" s="4">
        <f t="shared" si="28"/>
        <v>10.774010213656391</v>
      </c>
      <c r="Q192" s="4">
        <f t="shared" si="29"/>
        <v>0.64696806511839999</v>
      </c>
      <c r="S192">
        <v>100</v>
      </c>
      <c r="T192">
        <v>0</v>
      </c>
      <c r="U192" s="6">
        <f t="shared" si="30"/>
        <v>-0.82025933590567157</v>
      </c>
      <c r="V192" s="7">
        <f t="shared" si="31"/>
        <v>2.7964104612490539</v>
      </c>
      <c r="W192" s="6">
        <f t="shared" si="32"/>
        <v>8.7352447692182835</v>
      </c>
      <c r="X192" s="6">
        <f t="shared" si="33"/>
        <v>13.790252573210513</v>
      </c>
      <c r="Y192" s="5">
        <f t="shared" si="34"/>
        <v>10.776074908230283</v>
      </c>
      <c r="Z192" s="5">
        <f t="shared" si="35"/>
        <v>0.63987861265665724</v>
      </c>
    </row>
    <row r="193" spans="10:26" x14ac:dyDescent="0.25">
      <c r="J193">
        <v>100</v>
      </c>
      <c r="K193">
        <v>10</v>
      </c>
      <c r="L193">
        <f t="shared" si="24"/>
        <v>-0.81642229172387792</v>
      </c>
      <c r="M193" s="2">
        <f t="shared" si="25"/>
        <v>2.6383453116896032</v>
      </c>
      <c r="N193">
        <f t="shared" si="26"/>
        <v>8.7309343444679719</v>
      </c>
      <c r="O193">
        <f t="shared" si="27"/>
        <v>14.425797334532833</v>
      </c>
      <c r="P193" s="4">
        <f t="shared" si="28"/>
        <v>11.030089653088783</v>
      </c>
      <c r="Q193" s="4">
        <f t="shared" si="29"/>
        <v>0.5783517861242764</v>
      </c>
      <c r="S193">
        <v>100</v>
      </c>
      <c r="T193">
        <v>10</v>
      </c>
      <c r="U193" s="6">
        <f t="shared" si="30"/>
        <v>-0.82025933590567157</v>
      </c>
      <c r="V193" s="7">
        <f t="shared" si="31"/>
        <v>2.626777564078167</v>
      </c>
      <c r="W193" s="6">
        <f t="shared" si="32"/>
        <v>8.7352447692182835</v>
      </c>
      <c r="X193" s="6">
        <f t="shared" si="33"/>
        <v>14.423331164087369</v>
      </c>
      <c r="Y193" s="5">
        <f t="shared" si="34"/>
        <v>11.031664200813445</v>
      </c>
      <c r="Z193" s="5">
        <f t="shared" si="35"/>
        <v>0.57139366811495707</v>
      </c>
    </row>
    <row r="194" spans="10:26" x14ac:dyDescent="0.25">
      <c r="J194">
        <v>100</v>
      </c>
      <c r="K194">
        <v>20</v>
      </c>
      <c r="L194">
        <f t="shared" si="24"/>
        <v>-0.81642229172387792</v>
      </c>
      <c r="M194" s="2">
        <f t="shared" si="25"/>
        <v>2.3608253909291665</v>
      </c>
      <c r="N194">
        <f t="shared" si="26"/>
        <v>8.7309343444679719</v>
      </c>
      <c r="O194">
        <f t="shared" si="27"/>
        <v>15.020940725182854</v>
      </c>
      <c r="P194" s="4">
        <f t="shared" si="28"/>
        <v>11.270363578623204</v>
      </c>
      <c r="Q194" s="4">
        <f t="shared" si="29"/>
        <v>0.46631021459261124</v>
      </c>
      <c r="S194">
        <v>100</v>
      </c>
      <c r="T194">
        <v>20</v>
      </c>
      <c r="U194" s="6">
        <f t="shared" si="30"/>
        <v>-0.82025933590567157</v>
      </c>
      <c r="V194" s="7">
        <f t="shared" si="31"/>
        <v>2.3497888281526409</v>
      </c>
      <c r="W194" s="6">
        <f t="shared" si="32"/>
        <v>8.7352447692182835</v>
      </c>
      <c r="X194" s="6">
        <f t="shared" si="33"/>
        <v>15.017335425182855</v>
      </c>
      <c r="Y194" s="5">
        <f t="shared" si="34"/>
        <v>11.271478231918961</v>
      </c>
      <c r="Z194" s="5">
        <f t="shared" si="35"/>
        <v>0.45956654887743387</v>
      </c>
    </row>
    <row r="195" spans="10:26" x14ac:dyDescent="0.25">
      <c r="J195">
        <v>100</v>
      </c>
      <c r="K195">
        <v>30</v>
      </c>
      <c r="L195">
        <f t="shared" ref="L195:L258" si="36">0.723077+8.86562308*COS(J195*PI()/180)</f>
        <v>-0.81642229172387792</v>
      </c>
      <c r="M195" s="2">
        <f t="shared" ref="M195:M258" si="37">1.414792+(13.34*COS(J195*PI()/180))+((17.1072106-13.34)*COS(((K195+J195-90)*PI()/180)))</f>
        <v>1.9841760561120598</v>
      </c>
      <c r="N195">
        <f t="shared" ref="N195:N258" si="38">8.86562308*SIN(J195*PI()/180)</f>
        <v>8.7309343444679719</v>
      </c>
      <c r="O195">
        <f t="shared" ref="O195:O258" si="39">(13.34*SIN(J195*PI()/180))+((17.1072106-13.34)*SIN((K195+J195-90)*PI()/180))</f>
        <v>15.558851721942647</v>
      </c>
      <c r="P195" s="4">
        <f t="shared" ref="P195:P258" si="40">((130*N195)+(88.02*O195))/(130+88.02)</f>
        <v>11.48753138861677</v>
      </c>
      <c r="Q195" s="4">
        <f t="shared" ref="Q195:Q258" si="41">((130*L195)+(88.02*M195))/(130+88.02)</f>
        <v>0.31424767697862294</v>
      </c>
      <c r="S195">
        <v>100</v>
      </c>
      <c r="T195">
        <v>30</v>
      </c>
      <c r="U195" s="6">
        <f t="shared" ref="U195:U258" si="42">0.72+8.87*COS(S195*PI()/180)</f>
        <v>-0.82025933590567157</v>
      </c>
      <c r="V195" s="7">
        <f t="shared" ref="V195:V258" si="43">1.41+(13.34*COS(S195*PI()/180))+((17.1-13.34)*COS(((T195+S195-90)*PI()/180)))</f>
        <v>1.9738604160505082</v>
      </c>
      <c r="W195" s="6">
        <f t="shared" ref="W195:W258" si="44">8.87*SIN(S195*PI()/180)</f>
        <v>8.7352447692182835</v>
      </c>
      <c r="X195" s="6">
        <f t="shared" ref="X195:X258" si="45">(13.34*SIN(S195*PI()/180))+((17.1-13.34)*SIN((T195+S195-90)*PI()/180))</f>
        <v>15.554216837604244</v>
      </c>
      <c r="Y195" s="5">
        <f t="shared" ref="Y195:Y258" si="46">((130*W195)+(88.02*X195))/(130+88.02)</f>
        <v>11.488230373563447</v>
      </c>
      <c r="Z195" s="5">
        <f t="shared" ref="Z195:Z258" si="47">((130*U195)+(88.02*V195))/(130+88.02)</f>
        <v>0.30779506537486667</v>
      </c>
    </row>
    <row r="196" spans="10:26" x14ac:dyDescent="0.25">
      <c r="J196">
        <v>100</v>
      </c>
      <c r="K196">
        <v>40</v>
      </c>
      <c r="L196">
        <f t="shared" si="36"/>
        <v>-0.81642229172387792</v>
      </c>
      <c r="M196" s="2">
        <f t="shared" si="37"/>
        <v>1.5198416066829428</v>
      </c>
      <c r="N196">
        <f t="shared" si="38"/>
        <v>8.7309343444679719</v>
      </c>
      <c r="O196">
        <f t="shared" si="39"/>
        <v>16.023186171371766</v>
      </c>
      <c r="P196" s="4">
        <f t="shared" si="40"/>
        <v>11.674994549055038</v>
      </c>
      <c r="Q196" s="4">
        <f t="shared" si="41"/>
        <v>0.12678451654035641</v>
      </c>
      <c r="S196">
        <v>100</v>
      </c>
      <c r="T196">
        <v>40</v>
      </c>
      <c r="U196" s="6">
        <f t="shared" si="42"/>
        <v>-0.82025933590567157</v>
      </c>
      <c r="V196" s="7">
        <f t="shared" si="43"/>
        <v>1.510414722344539</v>
      </c>
      <c r="W196" s="6">
        <f t="shared" si="44"/>
        <v>8.7352447692182835</v>
      </c>
      <c r="X196" s="6">
        <f t="shared" si="45"/>
        <v>16.017662531310211</v>
      </c>
      <c r="Y196" s="5">
        <f t="shared" si="46"/>
        <v>11.675334721604905</v>
      </c>
      <c r="Z196" s="5">
        <f t="shared" si="47"/>
        <v>0.12069071733340524</v>
      </c>
    </row>
    <row r="197" spans="10:26" x14ac:dyDescent="0.25">
      <c r="J197">
        <v>100</v>
      </c>
      <c r="K197">
        <v>50</v>
      </c>
      <c r="L197">
        <f t="shared" si="36"/>
        <v>-0.81642229172387792</v>
      </c>
      <c r="M197" s="2">
        <f t="shared" si="37"/>
        <v>0.98193060992314973</v>
      </c>
      <c r="N197">
        <f t="shared" si="38"/>
        <v>8.7309343444679719</v>
      </c>
      <c r="O197">
        <f t="shared" si="39"/>
        <v>16.399835506188872</v>
      </c>
      <c r="P197" s="4">
        <f t="shared" si="40"/>
        <v>11.827057086669026</v>
      </c>
      <c r="Q197" s="4">
        <f t="shared" si="41"/>
        <v>-9.0383293453208349E-2</v>
      </c>
      <c r="S197">
        <v>100</v>
      </c>
      <c r="T197">
        <v>50</v>
      </c>
      <c r="U197" s="6">
        <f t="shared" si="42"/>
        <v>-0.82025933590567157</v>
      </c>
      <c r="V197" s="7">
        <f t="shared" si="43"/>
        <v>0.97353330992315112</v>
      </c>
      <c r="W197" s="6">
        <f t="shared" si="44"/>
        <v>8.7352447692182835</v>
      </c>
      <c r="X197" s="6">
        <f t="shared" si="45"/>
        <v>16.393590943412345</v>
      </c>
      <c r="Y197" s="5">
        <f t="shared" si="46"/>
        <v>11.827106205107475</v>
      </c>
      <c r="Z197" s="5">
        <f t="shared" si="47"/>
        <v>-9.6061424311079502E-2</v>
      </c>
    </row>
    <row r="198" spans="10:26" x14ac:dyDescent="0.25">
      <c r="J198">
        <v>100</v>
      </c>
      <c r="K198">
        <v>60</v>
      </c>
      <c r="L198">
        <f t="shared" si="36"/>
        <v>-0.81642229172387792</v>
      </c>
      <c r="M198" s="2">
        <f t="shared" si="37"/>
        <v>0.38678721927312831</v>
      </c>
      <c r="N198">
        <f t="shared" si="38"/>
        <v>8.7309343444679719</v>
      </c>
      <c r="O198">
        <f t="shared" si="39"/>
        <v>16.677355426949308</v>
      </c>
      <c r="P198" s="4">
        <f t="shared" si="40"/>
        <v>11.939098658200692</v>
      </c>
      <c r="Q198" s="4">
        <f t="shared" si="41"/>
        <v>-0.33065721898763129</v>
      </c>
      <c r="S198">
        <v>100</v>
      </c>
      <c r="T198">
        <v>60</v>
      </c>
      <c r="U198" s="6">
        <f t="shared" si="42"/>
        <v>-0.82025933590567157</v>
      </c>
      <c r="V198" s="7">
        <f t="shared" si="43"/>
        <v>0.37952904882766525</v>
      </c>
      <c r="W198" s="6">
        <f t="shared" si="44"/>
        <v>8.7352447692182835</v>
      </c>
      <c r="X198" s="6">
        <f t="shared" si="45"/>
        <v>16.67057967933787</v>
      </c>
      <c r="Y198" s="5">
        <f t="shared" si="46"/>
        <v>11.938933324344996</v>
      </c>
      <c r="Z198" s="5">
        <f t="shared" si="47"/>
        <v>-0.3358754554165958</v>
      </c>
    </row>
    <row r="199" spans="10:26" x14ac:dyDescent="0.25">
      <c r="J199">
        <v>100</v>
      </c>
      <c r="K199">
        <v>70</v>
      </c>
      <c r="L199">
        <f t="shared" si="36"/>
        <v>-0.81642229172387792</v>
      </c>
      <c r="M199" s="2">
        <f t="shared" si="37"/>
        <v>-0.24750543449930673</v>
      </c>
      <c r="N199">
        <f t="shared" si="38"/>
        <v>8.7309343444679719</v>
      </c>
      <c r="O199">
        <f t="shared" si="39"/>
        <v>16.847313631292625</v>
      </c>
      <c r="P199" s="4">
        <f t="shared" si="40"/>
        <v>12.007714937194816</v>
      </c>
      <c r="Q199" s="4">
        <f t="shared" si="41"/>
        <v>-0.58673665842002165</v>
      </c>
      <c r="S199">
        <v>100</v>
      </c>
      <c r="T199">
        <v>70</v>
      </c>
      <c r="U199" s="6">
        <f t="shared" si="42"/>
        <v>-0.82025933590567157</v>
      </c>
      <c r="V199" s="7">
        <f t="shared" si="43"/>
        <v>-0.25354954204919145</v>
      </c>
      <c r="W199" s="6">
        <f t="shared" si="44"/>
        <v>8.7352447692182835</v>
      </c>
      <c r="X199" s="6">
        <f t="shared" si="45"/>
        <v>16.840212576508758</v>
      </c>
      <c r="Y199" s="5">
        <f t="shared" si="46"/>
        <v>12.007418268886699</v>
      </c>
      <c r="Z199" s="5">
        <f t="shared" si="47"/>
        <v>-0.59146474799975757</v>
      </c>
    </row>
    <row r="200" spans="10:26" x14ac:dyDescent="0.25">
      <c r="J200">
        <v>100</v>
      </c>
      <c r="K200">
        <v>80</v>
      </c>
      <c r="L200">
        <f t="shared" si="36"/>
        <v>-0.81642229172387792</v>
      </c>
      <c r="M200" s="2">
        <f t="shared" si="37"/>
        <v>-0.90167469007684975</v>
      </c>
      <c r="N200">
        <f t="shared" si="38"/>
        <v>8.7309343444679719</v>
      </c>
      <c r="O200">
        <f t="shared" si="39"/>
        <v>16.904546025182853</v>
      </c>
      <c r="P200" s="4">
        <f t="shared" si="40"/>
        <v>12.030821052735671</v>
      </c>
      <c r="Q200" s="4">
        <f t="shared" si="41"/>
        <v>-0.85084076756567495</v>
      </c>
      <c r="S200">
        <v>100</v>
      </c>
      <c r="T200">
        <v>80</v>
      </c>
      <c r="U200" s="6">
        <f t="shared" si="42"/>
        <v>-0.82025933590567157</v>
      </c>
      <c r="V200" s="7">
        <f t="shared" si="43"/>
        <v>-0.90646669007684988</v>
      </c>
      <c r="W200" s="6">
        <f t="shared" si="44"/>
        <v>8.7352447692182835</v>
      </c>
      <c r="X200" s="6">
        <f t="shared" si="45"/>
        <v>16.897335425182856</v>
      </c>
      <c r="Y200" s="5">
        <f t="shared" si="46"/>
        <v>12.03048015834773</v>
      </c>
      <c r="Z200" s="5">
        <f t="shared" si="47"/>
        <v>-0.85506335073984796</v>
      </c>
    </row>
    <row r="201" spans="10:26" x14ac:dyDescent="0.25">
      <c r="J201">
        <v>100</v>
      </c>
      <c r="K201">
        <v>90</v>
      </c>
      <c r="L201">
        <f t="shared" si="36"/>
        <v>-0.81642229172387792</v>
      </c>
      <c r="M201" s="2">
        <f t="shared" si="37"/>
        <v>-1.5558439456543929</v>
      </c>
      <c r="N201">
        <f t="shared" si="38"/>
        <v>8.7309343444679719</v>
      </c>
      <c r="O201">
        <f t="shared" si="39"/>
        <v>16.847313631292625</v>
      </c>
      <c r="P201" s="4">
        <f t="shared" si="40"/>
        <v>12.007714937194816</v>
      </c>
      <c r="Q201" s="4">
        <f t="shared" si="41"/>
        <v>-1.1149448767113281</v>
      </c>
      <c r="S201">
        <v>100</v>
      </c>
      <c r="T201">
        <v>90</v>
      </c>
      <c r="U201" s="6">
        <f t="shared" si="42"/>
        <v>-0.82025933590567157</v>
      </c>
      <c r="V201" s="7">
        <f t="shared" si="43"/>
        <v>-1.5593838381045084</v>
      </c>
      <c r="W201" s="6">
        <f t="shared" si="44"/>
        <v>8.7352447692182835</v>
      </c>
      <c r="X201" s="6">
        <f t="shared" si="45"/>
        <v>16.840212576508758</v>
      </c>
      <c r="Y201" s="5">
        <f t="shared" si="46"/>
        <v>12.007418268886699</v>
      </c>
      <c r="Z201" s="5">
        <f t="shared" si="47"/>
        <v>-1.1186619534799382</v>
      </c>
    </row>
    <row r="202" spans="10:26" x14ac:dyDescent="0.25">
      <c r="J202">
        <v>100</v>
      </c>
      <c r="K202">
        <v>100</v>
      </c>
      <c r="L202">
        <f t="shared" si="36"/>
        <v>-0.81642229172387792</v>
      </c>
      <c r="M202" s="2">
        <f t="shared" si="37"/>
        <v>-2.190136599426828</v>
      </c>
      <c r="N202">
        <f t="shared" si="38"/>
        <v>8.7309343444679719</v>
      </c>
      <c r="O202">
        <f t="shared" si="39"/>
        <v>16.677355426949308</v>
      </c>
      <c r="P202" s="4">
        <f t="shared" si="40"/>
        <v>11.939098658200692</v>
      </c>
      <c r="Q202" s="4">
        <f t="shared" si="41"/>
        <v>-1.3710243161437188</v>
      </c>
      <c r="S202">
        <v>100</v>
      </c>
      <c r="T202">
        <v>100</v>
      </c>
      <c r="U202" s="6">
        <f t="shared" si="42"/>
        <v>-0.82025933590567157</v>
      </c>
      <c r="V202" s="7">
        <f t="shared" si="43"/>
        <v>-2.192462428981365</v>
      </c>
      <c r="W202" s="6">
        <f t="shared" si="44"/>
        <v>8.7352447692182835</v>
      </c>
      <c r="X202" s="6">
        <f t="shared" si="45"/>
        <v>16.670579679337873</v>
      </c>
      <c r="Y202" s="5">
        <f t="shared" si="46"/>
        <v>11.938933324344999</v>
      </c>
      <c r="Z202" s="5">
        <f t="shared" si="47"/>
        <v>-1.3742512460631002</v>
      </c>
    </row>
    <row r="203" spans="10:26" x14ac:dyDescent="0.25">
      <c r="J203">
        <v>100</v>
      </c>
      <c r="K203">
        <v>110</v>
      </c>
      <c r="L203">
        <f t="shared" si="36"/>
        <v>-0.81642229172387792</v>
      </c>
      <c r="M203" s="2">
        <f t="shared" si="37"/>
        <v>-2.7852799900768481</v>
      </c>
      <c r="N203">
        <f t="shared" si="38"/>
        <v>8.7309343444679719</v>
      </c>
      <c r="O203">
        <f t="shared" si="39"/>
        <v>16.399835506188872</v>
      </c>
      <c r="P203" s="4">
        <f t="shared" si="40"/>
        <v>11.827057086669026</v>
      </c>
      <c r="Q203" s="4">
        <f t="shared" si="41"/>
        <v>-1.6112982416781412</v>
      </c>
      <c r="S203">
        <v>100</v>
      </c>
      <c r="T203">
        <v>110</v>
      </c>
      <c r="U203" s="6">
        <f t="shared" si="42"/>
        <v>-0.82025933590567157</v>
      </c>
      <c r="V203" s="7">
        <f t="shared" si="43"/>
        <v>-2.7864666900768498</v>
      </c>
      <c r="W203" s="6">
        <f t="shared" si="44"/>
        <v>8.7352447692182835</v>
      </c>
      <c r="X203" s="6">
        <f t="shared" si="45"/>
        <v>16.393590943412345</v>
      </c>
      <c r="Y203" s="5">
        <f t="shared" si="46"/>
        <v>11.827106205107475</v>
      </c>
      <c r="Z203" s="5">
        <f t="shared" si="47"/>
        <v>-1.6140652771686159</v>
      </c>
    </row>
    <row r="204" spans="10:26" x14ac:dyDescent="0.25">
      <c r="J204">
        <v>100</v>
      </c>
      <c r="K204">
        <v>120</v>
      </c>
      <c r="L204">
        <f t="shared" si="36"/>
        <v>-0.81642229172387792</v>
      </c>
      <c r="M204" s="2">
        <f t="shared" si="37"/>
        <v>-3.3231909868366429</v>
      </c>
      <c r="N204">
        <f t="shared" si="38"/>
        <v>8.7309343444679719</v>
      </c>
      <c r="O204">
        <f t="shared" si="39"/>
        <v>16.023186171371766</v>
      </c>
      <c r="P204" s="4">
        <f t="shared" si="40"/>
        <v>11.674994549055038</v>
      </c>
      <c r="Q204" s="4">
        <f t="shared" si="41"/>
        <v>-1.8284660516717064</v>
      </c>
      <c r="S204">
        <v>100</v>
      </c>
      <c r="T204">
        <v>120</v>
      </c>
      <c r="U204" s="6">
        <f t="shared" si="42"/>
        <v>-0.82025933590567157</v>
      </c>
      <c r="V204" s="7">
        <f t="shared" si="43"/>
        <v>-3.3233481024982394</v>
      </c>
      <c r="W204" s="6">
        <f t="shared" si="44"/>
        <v>8.7352447692182835</v>
      </c>
      <c r="X204" s="6">
        <f t="shared" si="45"/>
        <v>16.017662531310211</v>
      </c>
      <c r="Y204" s="5">
        <f t="shared" si="46"/>
        <v>11.675334721604905</v>
      </c>
      <c r="Z204" s="5">
        <f t="shared" si="47"/>
        <v>-1.8308174188131014</v>
      </c>
    </row>
    <row r="205" spans="10:26" x14ac:dyDescent="0.25">
      <c r="J205">
        <v>100</v>
      </c>
      <c r="K205">
        <v>130</v>
      </c>
      <c r="L205">
        <f t="shared" si="36"/>
        <v>-0.81642229172387792</v>
      </c>
      <c r="M205" s="2">
        <f t="shared" si="37"/>
        <v>-3.7875254362657591</v>
      </c>
      <c r="N205">
        <f t="shared" si="38"/>
        <v>8.7309343444679719</v>
      </c>
      <c r="O205">
        <f t="shared" si="39"/>
        <v>15.558851721942649</v>
      </c>
      <c r="P205" s="4">
        <f t="shared" si="40"/>
        <v>11.487531388616771</v>
      </c>
      <c r="Q205" s="4">
        <f t="shared" si="41"/>
        <v>-2.0159292121099726</v>
      </c>
      <c r="S205">
        <v>100</v>
      </c>
      <c r="T205">
        <v>130</v>
      </c>
      <c r="U205" s="6">
        <f t="shared" si="42"/>
        <v>-0.82025933590567157</v>
      </c>
      <c r="V205" s="7">
        <f t="shared" si="43"/>
        <v>-3.7867937962042086</v>
      </c>
      <c r="W205" s="6">
        <f t="shared" si="44"/>
        <v>8.7352447692182835</v>
      </c>
      <c r="X205" s="6">
        <f t="shared" si="45"/>
        <v>15.554216837604244</v>
      </c>
      <c r="Y205" s="5">
        <f t="shared" si="46"/>
        <v>11.488230373563447</v>
      </c>
      <c r="Z205" s="5">
        <f t="shared" si="47"/>
        <v>-2.0179217668545628</v>
      </c>
    </row>
    <row r="206" spans="10:26" x14ac:dyDescent="0.25">
      <c r="J206">
        <v>100</v>
      </c>
      <c r="K206">
        <v>140</v>
      </c>
      <c r="L206">
        <f t="shared" si="36"/>
        <v>-0.81642229172387792</v>
      </c>
      <c r="M206" s="2">
        <f t="shared" si="37"/>
        <v>-4.164174771082866</v>
      </c>
      <c r="N206">
        <f t="shared" si="38"/>
        <v>8.7309343444679719</v>
      </c>
      <c r="O206">
        <f t="shared" si="39"/>
        <v>15.020940725182854</v>
      </c>
      <c r="P206" s="4">
        <f t="shared" si="40"/>
        <v>11.270363578623204</v>
      </c>
      <c r="Q206" s="4">
        <f t="shared" si="41"/>
        <v>-2.1679917497239609</v>
      </c>
      <c r="S206">
        <v>100</v>
      </c>
      <c r="T206">
        <v>140</v>
      </c>
      <c r="U206" s="6">
        <f t="shared" si="42"/>
        <v>-0.82025933590567157</v>
      </c>
      <c r="V206" s="7">
        <f t="shared" si="43"/>
        <v>-4.1627222083063407</v>
      </c>
      <c r="W206" s="6">
        <f t="shared" si="44"/>
        <v>8.7352447692182835</v>
      </c>
      <c r="X206" s="6">
        <f t="shared" si="45"/>
        <v>15.017335425182855</v>
      </c>
      <c r="Y206" s="5">
        <f t="shared" si="46"/>
        <v>11.271478231918961</v>
      </c>
      <c r="Z206" s="5">
        <f t="shared" si="47"/>
        <v>-2.1696932503571298</v>
      </c>
    </row>
    <row r="207" spans="10:26" x14ac:dyDescent="0.25">
      <c r="J207">
        <v>100</v>
      </c>
      <c r="K207">
        <v>150</v>
      </c>
      <c r="L207">
        <f t="shared" si="36"/>
        <v>-0.81642229172387792</v>
      </c>
      <c r="M207" s="2">
        <f t="shared" si="37"/>
        <v>-4.4416946918433027</v>
      </c>
      <c r="N207">
        <f t="shared" si="38"/>
        <v>8.7309343444679719</v>
      </c>
      <c r="O207">
        <f t="shared" si="39"/>
        <v>14.425797334532833</v>
      </c>
      <c r="P207" s="4">
        <f t="shared" si="40"/>
        <v>11.030089653088783</v>
      </c>
      <c r="Q207" s="4">
        <f t="shared" si="41"/>
        <v>-2.2800333212556265</v>
      </c>
      <c r="S207">
        <v>100</v>
      </c>
      <c r="T207">
        <v>150</v>
      </c>
      <c r="U207" s="6">
        <f t="shared" si="42"/>
        <v>-0.82025933590567157</v>
      </c>
      <c r="V207" s="7">
        <f t="shared" si="43"/>
        <v>-4.4397109442318667</v>
      </c>
      <c r="W207" s="6">
        <f t="shared" si="44"/>
        <v>8.7352447692182835</v>
      </c>
      <c r="X207" s="6">
        <f t="shared" si="45"/>
        <v>14.42333116408737</v>
      </c>
      <c r="Y207" s="5">
        <f t="shared" si="46"/>
        <v>11.031664200813447</v>
      </c>
      <c r="Z207" s="5">
        <f t="shared" si="47"/>
        <v>-2.2815203695946531</v>
      </c>
    </row>
    <row r="208" spans="10:26" x14ac:dyDescent="0.25">
      <c r="J208">
        <v>100</v>
      </c>
      <c r="K208">
        <v>160</v>
      </c>
      <c r="L208">
        <f t="shared" si="36"/>
        <v>-0.81642229172387792</v>
      </c>
      <c r="M208" s="2">
        <f t="shared" si="37"/>
        <v>-4.6116528961866203</v>
      </c>
      <c r="N208">
        <f t="shared" si="38"/>
        <v>8.7309343444679719</v>
      </c>
      <c r="O208">
        <f t="shared" si="39"/>
        <v>13.791504680760397</v>
      </c>
      <c r="P208" s="4">
        <f t="shared" si="40"/>
        <v>10.774010213656391</v>
      </c>
      <c r="Q208" s="4">
        <f t="shared" si="41"/>
        <v>-2.3486496002497503</v>
      </c>
      <c r="S208">
        <v>100</v>
      </c>
      <c r="T208">
        <v>160</v>
      </c>
      <c r="U208" s="6">
        <f t="shared" si="42"/>
        <v>-0.82025933590567157</v>
      </c>
      <c r="V208" s="7">
        <f t="shared" si="43"/>
        <v>-4.6093438414027537</v>
      </c>
      <c r="W208" s="6">
        <f t="shared" si="44"/>
        <v>8.7352447692182835</v>
      </c>
      <c r="X208" s="6">
        <f t="shared" si="45"/>
        <v>13.790252573210513</v>
      </c>
      <c r="Y208" s="5">
        <f t="shared" si="46"/>
        <v>10.776074908230283</v>
      </c>
      <c r="Z208" s="5">
        <f t="shared" si="47"/>
        <v>-2.3500053141363533</v>
      </c>
    </row>
    <row r="209" spans="10:26" x14ac:dyDescent="0.25">
      <c r="J209">
        <v>100</v>
      </c>
      <c r="K209">
        <v>170</v>
      </c>
      <c r="L209">
        <f t="shared" si="36"/>
        <v>-0.81642229172387792</v>
      </c>
      <c r="M209" s="2">
        <f t="shared" si="37"/>
        <v>-4.6688852900768483</v>
      </c>
      <c r="N209">
        <f t="shared" si="38"/>
        <v>8.7309343444679719</v>
      </c>
      <c r="O209">
        <f t="shared" si="39"/>
        <v>13.137335425182854</v>
      </c>
      <c r="P209" s="4">
        <f t="shared" si="40"/>
        <v>10.509906104510739</v>
      </c>
      <c r="Q209" s="4">
        <f t="shared" si="41"/>
        <v>-2.371755715790608</v>
      </c>
      <c r="S209">
        <v>100</v>
      </c>
      <c r="T209">
        <v>170</v>
      </c>
      <c r="U209" s="6">
        <f t="shared" si="42"/>
        <v>-0.82025933590567157</v>
      </c>
      <c r="V209" s="7">
        <f t="shared" si="43"/>
        <v>-4.6664666900768514</v>
      </c>
      <c r="W209" s="6">
        <f t="shared" si="44"/>
        <v>8.7352447692182835</v>
      </c>
      <c r="X209" s="6">
        <f t="shared" si="45"/>
        <v>13.137335425182854</v>
      </c>
      <c r="Y209" s="5">
        <f t="shared" si="46"/>
        <v>10.512476305490193</v>
      </c>
      <c r="Z209" s="5">
        <f t="shared" si="47"/>
        <v>-2.373067203597385</v>
      </c>
    </row>
    <row r="210" spans="10:26" x14ac:dyDescent="0.25">
      <c r="J210">
        <v>100</v>
      </c>
      <c r="K210">
        <v>180</v>
      </c>
      <c r="L210">
        <f t="shared" si="36"/>
        <v>-0.81642229172387792</v>
      </c>
      <c r="M210" s="2">
        <f t="shared" si="37"/>
        <v>-4.6116528961866203</v>
      </c>
      <c r="N210">
        <f t="shared" si="38"/>
        <v>8.7309343444679719</v>
      </c>
      <c r="O210">
        <f t="shared" si="39"/>
        <v>12.483166169605312</v>
      </c>
      <c r="P210" s="4">
        <f t="shared" si="40"/>
        <v>10.245801995365087</v>
      </c>
      <c r="Q210" s="4">
        <f t="shared" si="41"/>
        <v>-2.3486496002497503</v>
      </c>
      <c r="S210">
        <v>100</v>
      </c>
      <c r="T210">
        <v>180</v>
      </c>
      <c r="U210" s="6">
        <f t="shared" si="42"/>
        <v>-0.82025933590567157</v>
      </c>
      <c r="V210" s="7">
        <f t="shared" si="43"/>
        <v>-4.6093438414027537</v>
      </c>
      <c r="W210" s="6">
        <f t="shared" si="44"/>
        <v>8.7352447692182835</v>
      </c>
      <c r="X210" s="6">
        <f t="shared" si="45"/>
        <v>12.484418277155196</v>
      </c>
      <c r="Y210" s="5">
        <f t="shared" si="46"/>
        <v>10.248877702750102</v>
      </c>
      <c r="Z210" s="5">
        <f t="shared" si="47"/>
        <v>-2.3500053141363533</v>
      </c>
    </row>
    <row r="211" spans="10:26" x14ac:dyDescent="0.25">
      <c r="J211">
        <v>110</v>
      </c>
      <c r="K211">
        <v>0</v>
      </c>
      <c r="L211">
        <f t="shared" si="36"/>
        <v>-2.3091446764929566</v>
      </c>
      <c r="M211" s="2">
        <f t="shared" si="37"/>
        <v>0.39226328980203329</v>
      </c>
      <c r="N211">
        <f t="shared" si="38"/>
        <v>8.3309605869452383</v>
      </c>
      <c r="O211">
        <f t="shared" si="39"/>
        <v>13.823961470633996</v>
      </c>
      <c r="P211" s="4">
        <f t="shared" si="40"/>
        <v>10.548619231942416</v>
      </c>
      <c r="Q211" s="4">
        <f t="shared" si="41"/>
        <v>-1.2185202879355539</v>
      </c>
      <c r="S211">
        <v>110</v>
      </c>
      <c r="T211">
        <v>0</v>
      </c>
      <c r="U211" s="6">
        <f t="shared" si="42"/>
        <v>-2.3137186712986813</v>
      </c>
      <c r="V211" s="7">
        <f t="shared" si="43"/>
        <v>0.38069554219059709</v>
      </c>
      <c r="W211" s="6">
        <f t="shared" si="44"/>
        <v>8.3350735463710066</v>
      </c>
      <c r="X211" s="6">
        <f t="shared" si="45"/>
        <v>13.821495300188532</v>
      </c>
      <c r="Y211" s="5">
        <f t="shared" si="46"/>
        <v>10.550076035917922</v>
      </c>
      <c r="Z211" s="5">
        <f t="shared" si="47"/>
        <v>-1.225917831598992</v>
      </c>
    </row>
    <row r="212" spans="10:26" x14ac:dyDescent="0.25">
      <c r="J212">
        <v>110</v>
      </c>
      <c r="K212">
        <v>10</v>
      </c>
      <c r="L212">
        <f t="shared" si="36"/>
        <v>-2.3091446764929566</v>
      </c>
      <c r="M212" s="2">
        <f t="shared" si="37"/>
        <v>0.11474336904159621</v>
      </c>
      <c r="N212">
        <f t="shared" si="38"/>
        <v>8.3309605869452383</v>
      </c>
      <c r="O212">
        <f t="shared" si="39"/>
        <v>14.419104861284017</v>
      </c>
      <c r="P212" s="4">
        <f t="shared" si="40"/>
        <v>10.788893157476839</v>
      </c>
      <c r="Q212" s="4">
        <f t="shared" si="41"/>
        <v>-1.3305618594672191</v>
      </c>
      <c r="S212">
        <v>110</v>
      </c>
      <c r="T212">
        <v>10</v>
      </c>
      <c r="U212" s="6">
        <f t="shared" si="42"/>
        <v>-2.3137186712986813</v>
      </c>
      <c r="V212" s="7">
        <f t="shared" si="43"/>
        <v>0.10370680626507056</v>
      </c>
      <c r="W212" s="6">
        <f t="shared" si="44"/>
        <v>8.3350735463710066</v>
      </c>
      <c r="X212" s="6">
        <f t="shared" si="45"/>
        <v>14.415499561284019</v>
      </c>
      <c r="Y212" s="5">
        <f t="shared" si="46"/>
        <v>10.789890067023439</v>
      </c>
      <c r="Z212" s="5">
        <f t="shared" si="47"/>
        <v>-1.3377449508365153</v>
      </c>
    </row>
    <row r="213" spans="10:26" x14ac:dyDescent="0.25">
      <c r="J213">
        <v>110</v>
      </c>
      <c r="K213">
        <v>20</v>
      </c>
      <c r="L213">
        <f t="shared" si="36"/>
        <v>-2.3091446764929566</v>
      </c>
      <c r="M213" s="2">
        <f t="shared" si="37"/>
        <v>-0.26190596577551029</v>
      </c>
      <c r="N213">
        <f t="shared" si="38"/>
        <v>8.3309605869452383</v>
      </c>
      <c r="O213">
        <f t="shared" si="39"/>
        <v>14.95701585804381</v>
      </c>
      <c r="P213" s="4">
        <f t="shared" si="40"/>
        <v>11.006060967470404</v>
      </c>
      <c r="Q213" s="4">
        <f t="shared" si="41"/>
        <v>-1.4826243970812072</v>
      </c>
      <c r="S213">
        <v>110</v>
      </c>
      <c r="T213">
        <v>20</v>
      </c>
      <c r="U213" s="6">
        <f t="shared" si="42"/>
        <v>-2.3137186712986813</v>
      </c>
      <c r="V213" s="7">
        <f t="shared" si="43"/>
        <v>-0.2722216058370619</v>
      </c>
      <c r="W213" s="6">
        <f t="shared" si="44"/>
        <v>8.3350735463710066</v>
      </c>
      <c r="X213" s="6">
        <f t="shared" si="45"/>
        <v>14.952380973705406</v>
      </c>
      <c r="Y213" s="5">
        <f t="shared" si="46"/>
        <v>11.006642208667923</v>
      </c>
      <c r="Z213" s="5">
        <f t="shared" si="47"/>
        <v>-1.4895164343390825</v>
      </c>
    </row>
    <row r="214" spans="10:26" x14ac:dyDescent="0.25">
      <c r="J214">
        <v>110</v>
      </c>
      <c r="K214">
        <v>30</v>
      </c>
      <c r="L214">
        <f t="shared" si="36"/>
        <v>-2.3091446764929566</v>
      </c>
      <c r="M214" s="2">
        <f t="shared" si="37"/>
        <v>-0.72624041520462734</v>
      </c>
      <c r="N214">
        <f t="shared" si="38"/>
        <v>8.3309605869452383</v>
      </c>
      <c r="O214">
        <f t="shared" si="39"/>
        <v>15.421350307472927</v>
      </c>
      <c r="P214" s="4">
        <f t="shared" si="40"/>
        <v>11.19352412790867</v>
      </c>
      <c r="Q214" s="4">
        <f t="shared" si="41"/>
        <v>-1.670087557519474</v>
      </c>
      <c r="S214">
        <v>110</v>
      </c>
      <c r="T214">
        <v>30</v>
      </c>
      <c r="U214" s="6">
        <f t="shared" si="42"/>
        <v>-2.3137186712986813</v>
      </c>
      <c r="V214" s="7">
        <f t="shared" si="43"/>
        <v>-0.73566729954303112</v>
      </c>
      <c r="W214" s="6">
        <f t="shared" si="44"/>
        <v>8.3350735463710066</v>
      </c>
      <c r="X214" s="6">
        <f t="shared" si="45"/>
        <v>15.415826667411377</v>
      </c>
      <c r="Y214" s="5">
        <f t="shared" si="46"/>
        <v>11.193746556709385</v>
      </c>
      <c r="Z214" s="5">
        <f t="shared" si="47"/>
        <v>-1.6766207823805439</v>
      </c>
    </row>
    <row r="215" spans="10:26" x14ac:dyDescent="0.25">
      <c r="J215">
        <v>110</v>
      </c>
      <c r="K215">
        <v>40</v>
      </c>
      <c r="L215">
        <f t="shared" si="36"/>
        <v>-2.3091446764929566</v>
      </c>
      <c r="M215" s="2">
        <f t="shared" si="37"/>
        <v>-1.2641514119644204</v>
      </c>
      <c r="N215">
        <f t="shared" si="38"/>
        <v>8.3309605869452383</v>
      </c>
      <c r="O215">
        <f t="shared" si="39"/>
        <v>15.797999642290034</v>
      </c>
      <c r="P215" s="4">
        <f t="shared" si="40"/>
        <v>11.345586665522658</v>
      </c>
      <c r="Q215" s="4">
        <f t="shared" si="41"/>
        <v>-1.8872553675130386</v>
      </c>
      <c r="S215">
        <v>110</v>
      </c>
      <c r="T215">
        <v>40</v>
      </c>
      <c r="U215" s="6">
        <f t="shared" si="42"/>
        <v>-2.3137186712986813</v>
      </c>
      <c r="V215" s="7">
        <f t="shared" si="43"/>
        <v>-1.272548711964419</v>
      </c>
      <c r="W215" s="6">
        <f t="shared" si="44"/>
        <v>8.3350735463710066</v>
      </c>
      <c r="X215" s="6">
        <f t="shared" si="45"/>
        <v>15.791755079513509</v>
      </c>
      <c r="Y215" s="5">
        <f t="shared" si="46"/>
        <v>11.345518040211953</v>
      </c>
      <c r="Z215" s="5">
        <f t="shared" si="47"/>
        <v>-1.8933729240250288</v>
      </c>
    </row>
    <row r="216" spans="10:26" x14ac:dyDescent="0.25">
      <c r="J216">
        <v>110</v>
      </c>
      <c r="K216">
        <v>50</v>
      </c>
      <c r="L216">
        <f t="shared" si="36"/>
        <v>-2.3091446764929566</v>
      </c>
      <c r="M216" s="2">
        <f t="shared" si="37"/>
        <v>-1.8592948026144418</v>
      </c>
      <c r="N216">
        <f t="shared" si="38"/>
        <v>8.3309605869452383</v>
      </c>
      <c r="O216">
        <f t="shared" si="39"/>
        <v>16.07551956305047</v>
      </c>
      <c r="P216" s="4">
        <f t="shared" si="40"/>
        <v>11.457628237054324</v>
      </c>
      <c r="Q216" s="4">
        <f t="shared" si="41"/>
        <v>-2.1275292930474614</v>
      </c>
      <c r="S216">
        <v>110</v>
      </c>
      <c r="T216">
        <v>50</v>
      </c>
      <c r="U216" s="6">
        <f t="shared" si="42"/>
        <v>-2.3137186712986813</v>
      </c>
      <c r="V216" s="7">
        <f t="shared" si="43"/>
        <v>-1.8665529730599049</v>
      </c>
      <c r="W216" s="6">
        <f t="shared" si="44"/>
        <v>8.3350735463710066</v>
      </c>
      <c r="X216" s="6">
        <f t="shared" si="45"/>
        <v>16.068743815439035</v>
      </c>
      <c r="Y216" s="5">
        <f t="shared" si="46"/>
        <v>11.457345159449474</v>
      </c>
      <c r="Z216" s="5">
        <f t="shared" si="47"/>
        <v>-2.1331869551305451</v>
      </c>
    </row>
    <row r="217" spans="10:26" x14ac:dyDescent="0.25">
      <c r="J217">
        <v>110</v>
      </c>
      <c r="K217">
        <v>60</v>
      </c>
      <c r="L217">
        <f t="shared" si="36"/>
        <v>-2.3091446764929566</v>
      </c>
      <c r="M217" s="2">
        <f t="shared" si="37"/>
        <v>-2.493587456386877</v>
      </c>
      <c r="N217">
        <f t="shared" si="38"/>
        <v>8.3309605869452383</v>
      </c>
      <c r="O217">
        <f t="shared" si="39"/>
        <v>16.245477767393787</v>
      </c>
      <c r="P217" s="4">
        <f t="shared" si="40"/>
        <v>11.526244516048447</v>
      </c>
      <c r="Q217" s="4">
        <f t="shared" si="41"/>
        <v>-2.3836087324798521</v>
      </c>
      <c r="S217">
        <v>110</v>
      </c>
      <c r="T217">
        <v>60</v>
      </c>
      <c r="U217" s="6">
        <f t="shared" si="42"/>
        <v>-2.3137186712986813</v>
      </c>
      <c r="V217" s="7">
        <f t="shared" si="43"/>
        <v>-2.4996315639367617</v>
      </c>
      <c r="W217" s="6">
        <f t="shared" si="44"/>
        <v>8.3350735463710066</v>
      </c>
      <c r="X217" s="6">
        <f t="shared" si="45"/>
        <v>16.23837671260992</v>
      </c>
      <c r="Y217" s="5">
        <f t="shared" si="46"/>
        <v>11.525830103991174</v>
      </c>
      <c r="Z217" s="5">
        <f t="shared" si="47"/>
        <v>-2.3887762477137069</v>
      </c>
    </row>
    <row r="218" spans="10:26" x14ac:dyDescent="0.25">
      <c r="J218">
        <v>110</v>
      </c>
      <c r="K218">
        <v>70</v>
      </c>
      <c r="L218">
        <f t="shared" si="36"/>
        <v>-2.3091446764929566</v>
      </c>
      <c r="M218" s="2">
        <f t="shared" si="37"/>
        <v>-3.1477567119644196</v>
      </c>
      <c r="N218">
        <f t="shared" si="38"/>
        <v>8.3309605869452383</v>
      </c>
      <c r="O218">
        <f t="shared" si="39"/>
        <v>16.302710161284018</v>
      </c>
      <c r="P218" s="4">
        <f t="shared" si="40"/>
        <v>11.549350631589306</v>
      </c>
      <c r="Q218" s="4">
        <f t="shared" si="41"/>
        <v>-2.6477128416255051</v>
      </c>
      <c r="S218">
        <v>110</v>
      </c>
      <c r="T218">
        <v>70</v>
      </c>
      <c r="U218" s="6">
        <f t="shared" si="42"/>
        <v>-2.3137186712986813</v>
      </c>
      <c r="V218" s="7">
        <f t="shared" si="43"/>
        <v>-3.1525487119644198</v>
      </c>
      <c r="W218" s="6">
        <f t="shared" si="44"/>
        <v>8.3350735463710066</v>
      </c>
      <c r="X218" s="6">
        <f t="shared" si="45"/>
        <v>16.295499561284018</v>
      </c>
      <c r="Y218" s="5">
        <f t="shared" si="46"/>
        <v>11.548891993452207</v>
      </c>
      <c r="Z218" s="5">
        <f t="shared" si="47"/>
        <v>-2.6523748504537967</v>
      </c>
    </row>
    <row r="219" spans="10:26" x14ac:dyDescent="0.25">
      <c r="J219">
        <v>110</v>
      </c>
      <c r="K219">
        <v>80</v>
      </c>
      <c r="L219">
        <f t="shared" si="36"/>
        <v>-2.3091446764929566</v>
      </c>
      <c r="M219" s="2">
        <f t="shared" si="37"/>
        <v>-3.8019259675419628</v>
      </c>
      <c r="N219">
        <f t="shared" si="38"/>
        <v>8.3309605869452383</v>
      </c>
      <c r="O219">
        <f t="shared" si="39"/>
        <v>16.245477767393787</v>
      </c>
      <c r="P219" s="4">
        <f t="shared" si="40"/>
        <v>11.526244516048447</v>
      </c>
      <c r="Q219" s="4">
        <f t="shared" si="41"/>
        <v>-2.9118169507711587</v>
      </c>
      <c r="S219">
        <v>110</v>
      </c>
      <c r="T219">
        <v>80</v>
      </c>
      <c r="U219" s="6">
        <f t="shared" si="42"/>
        <v>-2.3137186712986813</v>
      </c>
      <c r="V219" s="7">
        <f t="shared" si="43"/>
        <v>-3.8054658599920783</v>
      </c>
      <c r="W219" s="6">
        <f t="shared" si="44"/>
        <v>8.3350735463710066</v>
      </c>
      <c r="X219" s="6">
        <f t="shared" si="45"/>
        <v>16.23837671260992</v>
      </c>
      <c r="Y219" s="5">
        <f t="shared" si="46"/>
        <v>11.525830103991174</v>
      </c>
      <c r="Z219" s="5">
        <f t="shared" si="47"/>
        <v>-2.915973453193887</v>
      </c>
    </row>
    <row r="220" spans="10:26" x14ac:dyDescent="0.25">
      <c r="J220">
        <v>110</v>
      </c>
      <c r="K220">
        <v>90</v>
      </c>
      <c r="L220">
        <f t="shared" si="36"/>
        <v>-2.3091446764929566</v>
      </c>
      <c r="M220" s="2">
        <f t="shared" si="37"/>
        <v>-4.4362186213143975</v>
      </c>
      <c r="N220">
        <f t="shared" si="38"/>
        <v>8.3309605869452383</v>
      </c>
      <c r="O220">
        <f t="shared" si="39"/>
        <v>16.07551956305047</v>
      </c>
      <c r="P220" s="4">
        <f t="shared" si="40"/>
        <v>11.457628237054324</v>
      </c>
      <c r="Q220" s="4">
        <f t="shared" si="41"/>
        <v>-3.1678963902035489</v>
      </c>
      <c r="S220">
        <v>110</v>
      </c>
      <c r="T220">
        <v>90</v>
      </c>
      <c r="U220" s="6">
        <f t="shared" si="42"/>
        <v>-2.3137186712986813</v>
      </c>
      <c r="V220" s="7">
        <f t="shared" si="43"/>
        <v>-4.4385444508689353</v>
      </c>
      <c r="W220" s="6">
        <f t="shared" si="44"/>
        <v>8.3350735463710066</v>
      </c>
      <c r="X220" s="6">
        <f t="shared" si="45"/>
        <v>16.068743815439035</v>
      </c>
      <c r="Y220" s="5">
        <f t="shared" si="46"/>
        <v>11.457345159449474</v>
      </c>
      <c r="Z220" s="5">
        <f t="shared" si="47"/>
        <v>-3.1715627457770492</v>
      </c>
    </row>
    <row r="221" spans="10:26" x14ac:dyDescent="0.25">
      <c r="J221">
        <v>110</v>
      </c>
      <c r="K221">
        <v>100</v>
      </c>
      <c r="L221">
        <f t="shared" si="36"/>
        <v>-2.3091446764929566</v>
      </c>
      <c r="M221" s="2">
        <f t="shared" si="37"/>
        <v>-5.0313620119644185</v>
      </c>
      <c r="N221">
        <f t="shared" si="38"/>
        <v>8.3309605869452383</v>
      </c>
      <c r="O221">
        <f t="shared" si="39"/>
        <v>15.797999642290034</v>
      </c>
      <c r="P221" s="4">
        <f t="shared" si="40"/>
        <v>11.345586665522658</v>
      </c>
      <c r="Q221" s="4">
        <f t="shared" si="41"/>
        <v>-3.4081703157379715</v>
      </c>
      <c r="S221">
        <v>110</v>
      </c>
      <c r="T221">
        <v>100</v>
      </c>
      <c r="U221" s="6">
        <f t="shared" si="42"/>
        <v>-2.3137186712986813</v>
      </c>
      <c r="V221" s="7">
        <f t="shared" si="43"/>
        <v>-5.0325487119644201</v>
      </c>
      <c r="W221" s="6">
        <f t="shared" si="44"/>
        <v>8.3350735463710066</v>
      </c>
      <c r="X221" s="6">
        <f t="shared" si="45"/>
        <v>15.791755079513509</v>
      </c>
      <c r="Y221" s="5">
        <f t="shared" si="46"/>
        <v>11.345518040211953</v>
      </c>
      <c r="Z221" s="5">
        <f t="shared" si="47"/>
        <v>-3.4113767768825651</v>
      </c>
    </row>
    <row r="222" spans="10:26" x14ac:dyDescent="0.25">
      <c r="J222">
        <v>110</v>
      </c>
      <c r="K222">
        <v>110</v>
      </c>
      <c r="L222">
        <f t="shared" si="36"/>
        <v>-2.3091446764929566</v>
      </c>
      <c r="M222" s="2">
        <f t="shared" si="37"/>
        <v>-5.5692730087242133</v>
      </c>
      <c r="N222">
        <f t="shared" si="38"/>
        <v>8.3309605869452383</v>
      </c>
      <c r="O222">
        <f t="shared" si="39"/>
        <v>15.421350307472927</v>
      </c>
      <c r="P222" s="4">
        <f t="shared" si="40"/>
        <v>11.19352412790867</v>
      </c>
      <c r="Q222" s="4">
        <f t="shared" si="41"/>
        <v>-3.6253381257315369</v>
      </c>
      <c r="S222">
        <v>110</v>
      </c>
      <c r="T222">
        <v>110</v>
      </c>
      <c r="U222" s="6">
        <f t="shared" si="42"/>
        <v>-2.3137186712986813</v>
      </c>
      <c r="V222" s="7">
        <f t="shared" si="43"/>
        <v>-5.5694301243858089</v>
      </c>
      <c r="W222" s="6">
        <f t="shared" si="44"/>
        <v>8.3350735463710066</v>
      </c>
      <c r="X222" s="6">
        <f t="shared" si="45"/>
        <v>15.415826667411377</v>
      </c>
      <c r="Y222" s="5">
        <f t="shared" si="46"/>
        <v>11.193746556709385</v>
      </c>
      <c r="Z222" s="5">
        <f t="shared" si="47"/>
        <v>-3.6281289185270502</v>
      </c>
    </row>
    <row r="223" spans="10:26" x14ac:dyDescent="0.25">
      <c r="J223">
        <v>110</v>
      </c>
      <c r="K223">
        <v>120</v>
      </c>
      <c r="L223">
        <f t="shared" si="36"/>
        <v>-2.3091446764929566</v>
      </c>
      <c r="M223" s="2">
        <f t="shared" si="37"/>
        <v>-6.0336074581533294</v>
      </c>
      <c r="N223">
        <f t="shared" si="38"/>
        <v>8.3309605869452383</v>
      </c>
      <c r="O223">
        <f t="shared" si="39"/>
        <v>14.95701585804381</v>
      </c>
      <c r="P223" s="4">
        <f t="shared" si="40"/>
        <v>11.006060967470404</v>
      </c>
      <c r="Q223" s="4">
        <f t="shared" si="41"/>
        <v>-3.8128012861698033</v>
      </c>
      <c r="S223">
        <v>110</v>
      </c>
      <c r="T223">
        <v>120</v>
      </c>
      <c r="U223" s="6">
        <f t="shared" si="42"/>
        <v>-2.3137186712986813</v>
      </c>
      <c r="V223" s="7">
        <f t="shared" si="43"/>
        <v>-6.0328758180917781</v>
      </c>
      <c r="W223" s="6">
        <f t="shared" si="44"/>
        <v>8.3350735463710066</v>
      </c>
      <c r="X223" s="6">
        <f t="shared" si="45"/>
        <v>14.952380973705408</v>
      </c>
      <c r="Y223" s="5">
        <f t="shared" si="46"/>
        <v>11.006642208667923</v>
      </c>
      <c r="Z223" s="5">
        <f t="shared" si="47"/>
        <v>-3.8152332665685114</v>
      </c>
    </row>
    <row r="224" spans="10:26" x14ac:dyDescent="0.25">
      <c r="J224">
        <v>110</v>
      </c>
      <c r="K224">
        <v>130</v>
      </c>
      <c r="L224">
        <f t="shared" si="36"/>
        <v>-2.3091446764929566</v>
      </c>
      <c r="M224" s="2">
        <f t="shared" si="37"/>
        <v>-6.4102567929704364</v>
      </c>
      <c r="N224">
        <f t="shared" si="38"/>
        <v>8.3309605869452383</v>
      </c>
      <c r="O224">
        <f t="shared" si="39"/>
        <v>14.419104861284017</v>
      </c>
      <c r="P224" s="4">
        <f t="shared" si="40"/>
        <v>10.788893157476839</v>
      </c>
      <c r="Q224" s="4">
        <f t="shared" si="41"/>
        <v>-3.9648638237837912</v>
      </c>
      <c r="S224">
        <v>110</v>
      </c>
      <c r="T224">
        <v>130</v>
      </c>
      <c r="U224" s="6">
        <f t="shared" si="42"/>
        <v>-2.3137186712986813</v>
      </c>
      <c r="V224" s="7">
        <f t="shared" si="43"/>
        <v>-6.408804230193911</v>
      </c>
      <c r="W224" s="6">
        <f t="shared" si="44"/>
        <v>8.3350735463710066</v>
      </c>
      <c r="X224" s="6">
        <f t="shared" si="45"/>
        <v>14.415499561284019</v>
      </c>
      <c r="Y224" s="5">
        <f t="shared" si="46"/>
        <v>10.789890067023439</v>
      </c>
      <c r="Z224" s="5">
        <f t="shared" si="47"/>
        <v>-3.9670047500710788</v>
      </c>
    </row>
    <row r="225" spans="10:26" x14ac:dyDescent="0.25">
      <c r="J225">
        <v>110</v>
      </c>
      <c r="K225">
        <v>140</v>
      </c>
      <c r="L225">
        <f t="shared" si="36"/>
        <v>-2.3091446764929566</v>
      </c>
      <c r="M225" s="2">
        <f t="shared" si="37"/>
        <v>-6.687776713730873</v>
      </c>
      <c r="N225">
        <f t="shared" si="38"/>
        <v>8.3309605869452383</v>
      </c>
      <c r="O225">
        <f t="shared" si="39"/>
        <v>13.823961470633996</v>
      </c>
      <c r="P225" s="4">
        <f t="shared" si="40"/>
        <v>10.548619231942416</v>
      </c>
      <c r="Q225" s="4">
        <f t="shared" si="41"/>
        <v>-4.0769053953154568</v>
      </c>
      <c r="S225">
        <v>110</v>
      </c>
      <c r="T225">
        <v>140</v>
      </c>
      <c r="U225" s="6">
        <f t="shared" si="42"/>
        <v>-2.3137186712986813</v>
      </c>
      <c r="V225" s="7">
        <f t="shared" si="43"/>
        <v>-6.6857929661194371</v>
      </c>
      <c r="W225" s="6">
        <f t="shared" si="44"/>
        <v>8.3350735463710066</v>
      </c>
      <c r="X225" s="6">
        <f t="shared" si="45"/>
        <v>13.821495300188534</v>
      </c>
      <c r="Y225" s="5">
        <f t="shared" si="46"/>
        <v>10.550076035917924</v>
      </c>
      <c r="Z225" s="5">
        <f t="shared" si="47"/>
        <v>-4.078831869308603</v>
      </c>
    </row>
    <row r="226" spans="10:26" x14ac:dyDescent="0.25">
      <c r="J226">
        <v>110</v>
      </c>
      <c r="K226">
        <v>150</v>
      </c>
      <c r="L226">
        <f t="shared" si="36"/>
        <v>-2.3091446764929566</v>
      </c>
      <c r="M226" s="2">
        <f t="shared" si="37"/>
        <v>-6.8577349180741907</v>
      </c>
      <c r="N226">
        <f t="shared" si="38"/>
        <v>8.3309605869452383</v>
      </c>
      <c r="O226">
        <f t="shared" si="39"/>
        <v>13.189668816861561</v>
      </c>
      <c r="P226" s="4">
        <f t="shared" si="40"/>
        <v>10.292539792510025</v>
      </c>
      <c r="Q226" s="4">
        <f t="shared" si="41"/>
        <v>-4.1455216743095802</v>
      </c>
      <c r="S226">
        <v>110</v>
      </c>
      <c r="T226">
        <v>150</v>
      </c>
      <c r="U226" s="6">
        <f t="shared" si="42"/>
        <v>-2.3137186712986813</v>
      </c>
      <c r="V226" s="7">
        <f t="shared" si="43"/>
        <v>-6.855425863290324</v>
      </c>
      <c r="W226" s="6">
        <f t="shared" si="44"/>
        <v>8.3350735463710066</v>
      </c>
      <c r="X226" s="6">
        <f t="shared" si="45"/>
        <v>13.188416709311676</v>
      </c>
      <c r="Y226" s="5">
        <f t="shared" si="46"/>
        <v>10.294486743334762</v>
      </c>
      <c r="Z226" s="5">
        <f t="shared" si="47"/>
        <v>-4.1473168138503027</v>
      </c>
    </row>
    <row r="227" spans="10:26" x14ac:dyDescent="0.25">
      <c r="J227">
        <v>110</v>
      </c>
      <c r="K227">
        <v>160</v>
      </c>
      <c r="L227">
        <f t="shared" si="36"/>
        <v>-2.3091446764929566</v>
      </c>
      <c r="M227" s="2">
        <f t="shared" si="37"/>
        <v>-6.9149673119644186</v>
      </c>
      <c r="N227">
        <f t="shared" si="38"/>
        <v>8.3309605869452383</v>
      </c>
      <c r="O227">
        <f t="shared" si="39"/>
        <v>12.535499561284018</v>
      </c>
      <c r="P227" s="4">
        <f t="shared" si="40"/>
        <v>10.028435683364373</v>
      </c>
      <c r="Q227" s="4">
        <f t="shared" si="41"/>
        <v>-4.1686277898504382</v>
      </c>
      <c r="S227">
        <v>110</v>
      </c>
      <c r="T227">
        <v>160</v>
      </c>
      <c r="U227" s="6">
        <f t="shared" si="42"/>
        <v>-2.3137186712986813</v>
      </c>
      <c r="V227" s="7">
        <f t="shared" si="43"/>
        <v>-6.9125487119644218</v>
      </c>
      <c r="W227" s="6">
        <f t="shared" si="44"/>
        <v>8.3350735463710066</v>
      </c>
      <c r="X227" s="6">
        <f t="shared" si="45"/>
        <v>12.535499561284018</v>
      </c>
      <c r="Y227" s="5">
        <f t="shared" si="46"/>
        <v>10.030888140594671</v>
      </c>
      <c r="Z227" s="5">
        <f t="shared" si="47"/>
        <v>-4.1703787033113331</v>
      </c>
    </row>
    <row r="228" spans="10:26" x14ac:dyDescent="0.25">
      <c r="J228">
        <v>110</v>
      </c>
      <c r="K228">
        <v>170</v>
      </c>
      <c r="L228">
        <f t="shared" si="36"/>
        <v>-2.3091446764929566</v>
      </c>
      <c r="M228" s="2">
        <f t="shared" si="37"/>
        <v>-6.8577349180741907</v>
      </c>
      <c r="N228">
        <f t="shared" si="38"/>
        <v>8.3309605869452383</v>
      </c>
      <c r="O228">
        <f t="shared" si="39"/>
        <v>11.881330305706475</v>
      </c>
      <c r="P228" s="4">
        <f t="shared" si="40"/>
        <v>9.7643315742187191</v>
      </c>
      <c r="Q228" s="4">
        <f t="shared" si="41"/>
        <v>-4.1455216743095802</v>
      </c>
      <c r="S228">
        <v>110</v>
      </c>
      <c r="T228">
        <v>170</v>
      </c>
      <c r="U228" s="6">
        <f t="shared" si="42"/>
        <v>-2.3137186712986813</v>
      </c>
      <c r="V228" s="7">
        <f t="shared" si="43"/>
        <v>-6.855425863290324</v>
      </c>
      <c r="W228" s="6">
        <f t="shared" si="44"/>
        <v>8.3350735463710066</v>
      </c>
      <c r="X228" s="6">
        <f t="shared" si="45"/>
        <v>11.88258241325636</v>
      </c>
      <c r="Y228" s="5">
        <f t="shared" si="46"/>
        <v>9.7672895378545803</v>
      </c>
      <c r="Z228" s="5">
        <f t="shared" si="47"/>
        <v>-4.1473168138503027</v>
      </c>
    </row>
    <row r="229" spans="10:26" x14ac:dyDescent="0.25">
      <c r="J229">
        <v>110</v>
      </c>
      <c r="K229">
        <v>180</v>
      </c>
      <c r="L229">
        <f t="shared" si="36"/>
        <v>-2.3091446764929566</v>
      </c>
      <c r="M229" s="2">
        <f t="shared" si="37"/>
        <v>-6.687776713730873</v>
      </c>
      <c r="N229">
        <f t="shared" si="38"/>
        <v>8.3309605869452383</v>
      </c>
      <c r="O229">
        <f t="shared" si="39"/>
        <v>11.24703765193404</v>
      </c>
      <c r="P229" s="4">
        <f t="shared" si="40"/>
        <v>9.5082521347863285</v>
      </c>
      <c r="Q229" s="4">
        <f t="shared" si="41"/>
        <v>-4.0769053953154568</v>
      </c>
      <c r="S229">
        <v>110</v>
      </c>
      <c r="T229">
        <v>180</v>
      </c>
      <c r="U229" s="6">
        <f t="shared" si="42"/>
        <v>-2.3137186712986813</v>
      </c>
      <c r="V229" s="7">
        <f t="shared" si="43"/>
        <v>-6.685792966119438</v>
      </c>
      <c r="W229" s="6">
        <f t="shared" si="44"/>
        <v>8.3350735463710066</v>
      </c>
      <c r="X229" s="6">
        <f t="shared" si="45"/>
        <v>11.249503822379504</v>
      </c>
      <c r="Y229" s="5">
        <f t="shared" si="46"/>
        <v>9.5117002452714186</v>
      </c>
      <c r="Z229" s="5">
        <f t="shared" si="47"/>
        <v>-4.078831869308603</v>
      </c>
    </row>
    <row r="230" spans="10:26" x14ac:dyDescent="0.25">
      <c r="J230">
        <v>120</v>
      </c>
      <c r="K230">
        <v>0</v>
      </c>
      <c r="L230">
        <f t="shared" si="36"/>
        <v>-3.7097345399999986</v>
      </c>
      <c r="M230" s="2">
        <f t="shared" si="37"/>
        <v>-1.9927079189939807</v>
      </c>
      <c r="N230">
        <f t="shared" si="38"/>
        <v>7.6778548076576394</v>
      </c>
      <c r="O230">
        <f t="shared" si="39"/>
        <v>13.436384186484412</v>
      </c>
      <c r="P230" s="4">
        <f t="shared" si="40"/>
        <v>10.002713792724755</v>
      </c>
      <c r="Q230" s="4">
        <f t="shared" si="41"/>
        <v>-3.016528947939868</v>
      </c>
      <c r="S230">
        <v>120</v>
      </c>
      <c r="T230">
        <v>0</v>
      </c>
      <c r="U230" s="6">
        <f t="shared" si="42"/>
        <v>-3.7149999999999981</v>
      </c>
      <c r="V230" s="7">
        <f t="shared" si="43"/>
        <v>-2.0037444817705063</v>
      </c>
      <c r="W230" s="6">
        <f t="shared" si="44"/>
        <v>7.6816453315679709</v>
      </c>
      <c r="X230" s="6">
        <f t="shared" si="45"/>
        <v>13.432778886484414</v>
      </c>
      <c r="Y230" s="5">
        <f t="shared" si="46"/>
        <v>10.003518441850263</v>
      </c>
      <c r="Z230" s="5">
        <f t="shared" si="47"/>
        <v>-3.0241243431127409</v>
      </c>
    </row>
    <row r="231" spans="10:26" x14ac:dyDescent="0.25">
      <c r="J231">
        <v>120</v>
      </c>
      <c r="K231">
        <v>10</v>
      </c>
      <c r="L231">
        <f t="shared" si="36"/>
        <v>-3.7097345399999986</v>
      </c>
      <c r="M231" s="2">
        <f t="shared" si="37"/>
        <v>-2.3693572538110872</v>
      </c>
      <c r="N231">
        <f t="shared" si="38"/>
        <v>7.6778548076576394</v>
      </c>
      <c r="O231">
        <f t="shared" si="39"/>
        <v>13.974295183244205</v>
      </c>
      <c r="P231" s="4">
        <f t="shared" si="40"/>
        <v>10.219881602718319</v>
      </c>
      <c r="Q231" s="4">
        <f t="shared" si="41"/>
        <v>-3.1685914855538564</v>
      </c>
      <c r="S231">
        <v>120</v>
      </c>
      <c r="T231">
        <v>10</v>
      </c>
      <c r="U231" s="6">
        <f t="shared" si="42"/>
        <v>-3.7149999999999981</v>
      </c>
      <c r="V231" s="7">
        <f t="shared" si="43"/>
        <v>-2.3796728938726388</v>
      </c>
      <c r="W231" s="6">
        <f t="shared" si="44"/>
        <v>7.6816453315679709</v>
      </c>
      <c r="X231" s="6">
        <f t="shared" si="45"/>
        <v>13.969660298905801</v>
      </c>
      <c r="Y231" s="5">
        <f t="shared" si="46"/>
        <v>10.220270583494747</v>
      </c>
      <c r="Z231" s="5">
        <f t="shared" si="47"/>
        <v>-3.1758958266153079</v>
      </c>
    </row>
    <row r="232" spans="10:26" x14ac:dyDescent="0.25">
      <c r="J232">
        <v>120</v>
      </c>
      <c r="K232">
        <v>20</v>
      </c>
      <c r="L232">
        <f t="shared" si="36"/>
        <v>-3.7097345399999986</v>
      </c>
      <c r="M232" s="2">
        <f t="shared" si="37"/>
        <v>-2.8336917032402043</v>
      </c>
      <c r="N232">
        <f t="shared" si="38"/>
        <v>7.6778548076576394</v>
      </c>
      <c r="O232">
        <f t="shared" si="39"/>
        <v>14.438629632673322</v>
      </c>
      <c r="P232" s="4">
        <f t="shared" si="40"/>
        <v>10.407344763156587</v>
      </c>
      <c r="Q232" s="4">
        <f t="shared" si="41"/>
        <v>-3.3560546459921228</v>
      </c>
      <c r="S232">
        <v>120</v>
      </c>
      <c r="T232">
        <v>20</v>
      </c>
      <c r="U232" s="6">
        <f t="shared" si="42"/>
        <v>-3.7149999999999981</v>
      </c>
      <c r="V232" s="7">
        <f t="shared" si="43"/>
        <v>-2.843118587578608</v>
      </c>
      <c r="W232" s="6">
        <f t="shared" si="44"/>
        <v>7.6816453315679709</v>
      </c>
      <c r="X232" s="6">
        <f t="shared" si="45"/>
        <v>14.433105992611772</v>
      </c>
      <c r="Y232" s="5">
        <f t="shared" si="46"/>
        <v>10.407374931536211</v>
      </c>
      <c r="Z232" s="5">
        <f t="shared" si="47"/>
        <v>-3.3630001746567695</v>
      </c>
    </row>
    <row r="233" spans="10:26" x14ac:dyDescent="0.25">
      <c r="J233">
        <v>120</v>
      </c>
      <c r="K233">
        <v>30</v>
      </c>
      <c r="L233">
        <f t="shared" si="36"/>
        <v>-3.7097345399999986</v>
      </c>
      <c r="M233" s="2">
        <f t="shared" si="37"/>
        <v>-3.3716026999999973</v>
      </c>
      <c r="N233">
        <f t="shared" si="38"/>
        <v>7.6778548076576394</v>
      </c>
      <c r="O233">
        <f t="shared" si="39"/>
        <v>14.815278967490428</v>
      </c>
      <c r="P233" s="4">
        <f t="shared" si="40"/>
        <v>10.559407300770575</v>
      </c>
      <c r="Q233" s="4">
        <f t="shared" si="41"/>
        <v>-3.5732224559856878</v>
      </c>
      <c r="S233">
        <v>120</v>
      </c>
      <c r="T233">
        <v>30</v>
      </c>
      <c r="U233" s="6">
        <f t="shared" si="42"/>
        <v>-3.7149999999999981</v>
      </c>
      <c r="V233" s="7">
        <f t="shared" si="43"/>
        <v>-3.3799999999999959</v>
      </c>
      <c r="W233" s="6">
        <f t="shared" si="44"/>
        <v>7.6816453315679709</v>
      </c>
      <c r="X233" s="6">
        <f t="shared" si="45"/>
        <v>14.809034404713904</v>
      </c>
      <c r="Y233" s="5">
        <f t="shared" si="46"/>
        <v>10.559146415038777</v>
      </c>
      <c r="Z233" s="5">
        <f t="shared" si="47"/>
        <v>-3.5797523163012541</v>
      </c>
    </row>
    <row r="234" spans="10:26" x14ac:dyDescent="0.25">
      <c r="J234">
        <v>120</v>
      </c>
      <c r="K234">
        <v>40</v>
      </c>
      <c r="L234">
        <f t="shared" si="36"/>
        <v>-3.7097345399999986</v>
      </c>
      <c r="M234" s="2">
        <f t="shared" si="37"/>
        <v>-3.9667460906500187</v>
      </c>
      <c r="N234">
        <f t="shared" si="38"/>
        <v>7.6778548076576394</v>
      </c>
      <c r="O234">
        <f t="shared" si="39"/>
        <v>15.092798888250865</v>
      </c>
      <c r="P234" s="4">
        <f t="shared" si="40"/>
        <v>10.671448872302239</v>
      </c>
      <c r="Q234" s="4">
        <f t="shared" si="41"/>
        <v>-3.8134963815201108</v>
      </c>
      <c r="S234">
        <v>120</v>
      </c>
      <c r="T234">
        <v>40</v>
      </c>
      <c r="U234" s="6">
        <f t="shared" si="42"/>
        <v>-3.7149999999999981</v>
      </c>
      <c r="V234" s="7">
        <f t="shared" si="43"/>
        <v>-3.974004261095482</v>
      </c>
      <c r="W234" s="6">
        <f t="shared" si="44"/>
        <v>7.6816453315679709</v>
      </c>
      <c r="X234" s="6">
        <f t="shared" si="45"/>
        <v>15.08602314063943</v>
      </c>
      <c r="Y234" s="5">
        <f t="shared" si="46"/>
        <v>10.6709735342763</v>
      </c>
      <c r="Z234" s="5">
        <f t="shared" si="47"/>
        <v>-3.8195663474067705</v>
      </c>
    </row>
    <row r="235" spans="10:26" x14ac:dyDescent="0.25">
      <c r="J235">
        <v>120</v>
      </c>
      <c r="K235">
        <v>50</v>
      </c>
      <c r="L235">
        <f t="shared" si="36"/>
        <v>-3.7097345399999986</v>
      </c>
      <c r="M235" s="2">
        <f t="shared" si="37"/>
        <v>-4.6010387444224534</v>
      </c>
      <c r="N235">
        <f t="shared" si="38"/>
        <v>7.6778548076576394</v>
      </c>
      <c r="O235">
        <f t="shared" si="39"/>
        <v>15.262757092594184</v>
      </c>
      <c r="P235" s="4">
        <f t="shared" si="40"/>
        <v>10.740065151296363</v>
      </c>
      <c r="Q235" s="4">
        <f t="shared" si="41"/>
        <v>-4.069575820952501</v>
      </c>
      <c r="S235">
        <v>120</v>
      </c>
      <c r="T235">
        <v>50</v>
      </c>
      <c r="U235" s="6">
        <f t="shared" si="42"/>
        <v>-3.7149999999999981</v>
      </c>
      <c r="V235" s="7">
        <f t="shared" si="43"/>
        <v>-4.6070828519723381</v>
      </c>
      <c r="W235" s="6">
        <f t="shared" si="44"/>
        <v>7.6816453315679709</v>
      </c>
      <c r="X235" s="6">
        <f t="shared" si="45"/>
        <v>15.255656037810317</v>
      </c>
      <c r="Y235" s="5">
        <f t="shared" si="46"/>
        <v>10.739458478817999</v>
      </c>
      <c r="Z235" s="5">
        <f t="shared" si="47"/>
        <v>-4.0751556399899318</v>
      </c>
    </row>
    <row r="236" spans="10:26" x14ac:dyDescent="0.25">
      <c r="J236">
        <v>120</v>
      </c>
      <c r="K236">
        <v>60</v>
      </c>
      <c r="L236">
        <f t="shared" si="36"/>
        <v>-3.7097345399999986</v>
      </c>
      <c r="M236" s="2">
        <f t="shared" si="37"/>
        <v>-5.255207999999997</v>
      </c>
      <c r="N236">
        <f t="shared" si="38"/>
        <v>7.6778548076576394</v>
      </c>
      <c r="O236">
        <f t="shared" si="39"/>
        <v>15.319989486484412</v>
      </c>
      <c r="P236" s="4">
        <f t="shared" si="40"/>
        <v>10.763171266837222</v>
      </c>
      <c r="Q236" s="4">
        <f t="shared" si="41"/>
        <v>-4.333679930098155</v>
      </c>
      <c r="S236">
        <v>120</v>
      </c>
      <c r="T236">
        <v>60</v>
      </c>
      <c r="U236" s="6">
        <f t="shared" si="42"/>
        <v>-3.7149999999999981</v>
      </c>
      <c r="V236" s="7">
        <f t="shared" si="43"/>
        <v>-5.2599999999999971</v>
      </c>
      <c r="W236" s="6">
        <f t="shared" si="44"/>
        <v>7.6816453315679709</v>
      </c>
      <c r="X236" s="6">
        <f t="shared" si="45"/>
        <v>15.312778886484415</v>
      </c>
      <c r="Y236" s="5">
        <f t="shared" si="46"/>
        <v>10.762520368279032</v>
      </c>
      <c r="Z236" s="5">
        <f t="shared" si="47"/>
        <v>-4.3387542427300225</v>
      </c>
    </row>
    <row r="237" spans="10:26" x14ac:dyDescent="0.25">
      <c r="J237">
        <v>120</v>
      </c>
      <c r="K237">
        <v>70</v>
      </c>
      <c r="L237">
        <f t="shared" si="36"/>
        <v>-3.7097345399999986</v>
      </c>
      <c r="M237" s="2">
        <f t="shared" si="37"/>
        <v>-5.9093772555775397</v>
      </c>
      <c r="N237">
        <f t="shared" si="38"/>
        <v>7.6778548076576394</v>
      </c>
      <c r="O237">
        <f t="shared" si="39"/>
        <v>15.262757092594184</v>
      </c>
      <c r="P237" s="4">
        <f t="shared" si="40"/>
        <v>10.740065151296363</v>
      </c>
      <c r="Q237" s="4">
        <f t="shared" si="41"/>
        <v>-4.5977840392438072</v>
      </c>
      <c r="S237">
        <v>120</v>
      </c>
      <c r="T237">
        <v>70</v>
      </c>
      <c r="U237" s="6">
        <f t="shared" si="42"/>
        <v>-3.7149999999999981</v>
      </c>
      <c r="V237" s="7">
        <f t="shared" si="43"/>
        <v>-5.9129171480276552</v>
      </c>
      <c r="W237" s="6">
        <f t="shared" si="44"/>
        <v>7.6816453315679709</v>
      </c>
      <c r="X237" s="6">
        <f t="shared" si="45"/>
        <v>15.255656037810317</v>
      </c>
      <c r="Y237" s="5">
        <f t="shared" si="46"/>
        <v>10.739458478817999</v>
      </c>
      <c r="Z237" s="5">
        <f t="shared" si="47"/>
        <v>-4.6023528454701133</v>
      </c>
    </row>
    <row r="238" spans="10:26" x14ac:dyDescent="0.25">
      <c r="J238">
        <v>120</v>
      </c>
      <c r="K238">
        <v>80</v>
      </c>
      <c r="L238">
        <f t="shared" si="36"/>
        <v>-3.7097345399999986</v>
      </c>
      <c r="M238" s="2">
        <f t="shared" si="37"/>
        <v>-6.5436699093499744</v>
      </c>
      <c r="N238">
        <f t="shared" si="38"/>
        <v>7.6778548076576394</v>
      </c>
      <c r="O238">
        <f t="shared" si="39"/>
        <v>15.092798888250867</v>
      </c>
      <c r="P238" s="4">
        <f t="shared" si="40"/>
        <v>10.671448872302241</v>
      </c>
      <c r="Q238" s="4">
        <f t="shared" si="41"/>
        <v>-4.8538634786761978</v>
      </c>
      <c r="S238">
        <v>120</v>
      </c>
      <c r="T238">
        <v>80</v>
      </c>
      <c r="U238" s="6">
        <f t="shared" si="42"/>
        <v>-3.7149999999999981</v>
      </c>
      <c r="V238" s="7">
        <f t="shared" si="43"/>
        <v>-6.5459957389045123</v>
      </c>
      <c r="W238" s="6">
        <f t="shared" si="44"/>
        <v>7.6816453315679709</v>
      </c>
      <c r="X238" s="6">
        <f t="shared" si="45"/>
        <v>15.08602314063943</v>
      </c>
      <c r="Y238" s="5">
        <f t="shared" si="46"/>
        <v>10.6709735342763</v>
      </c>
      <c r="Z238" s="5">
        <f t="shared" si="47"/>
        <v>-4.857942138053275</v>
      </c>
    </row>
    <row r="239" spans="10:26" x14ac:dyDescent="0.25">
      <c r="J239">
        <v>120</v>
      </c>
      <c r="K239">
        <v>90</v>
      </c>
      <c r="L239">
        <f t="shared" si="36"/>
        <v>-3.7097345399999986</v>
      </c>
      <c r="M239" s="2">
        <f t="shared" si="37"/>
        <v>-7.1388132999999954</v>
      </c>
      <c r="N239">
        <f t="shared" si="38"/>
        <v>7.6778548076576394</v>
      </c>
      <c r="O239">
        <f t="shared" si="39"/>
        <v>14.815278967490428</v>
      </c>
      <c r="P239" s="4">
        <f t="shared" si="40"/>
        <v>10.559407300770575</v>
      </c>
      <c r="Q239" s="4">
        <f t="shared" si="41"/>
        <v>-5.0941374042106196</v>
      </c>
      <c r="S239">
        <v>120</v>
      </c>
      <c r="T239">
        <v>90</v>
      </c>
      <c r="U239" s="6">
        <f t="shared" si="42"/>
        <v>-3.7149999999999981</v>
      </c>
      <c r="V239" s="7">
        <f t="shared" si="43"/>
        <v>-7.139999999999997</v>
      </c>
      <c r="W239" s="6">
        <f t="shared" si="44"/>
        <v>7.6816453315679709</v>
      </c>
      <c r="X239" s="6">
        <f t="shared" si="45"/>
        <v>14.809034404713904</v>
      </c>
      <c r="Y239" s="5">
        <f t="shared" si="46"/>
        <v>10.559146415038777</v>
      </c>
      <c r="Z239" s="5">
        <f t="shared" si="47"/>
        <v>-5.0977561691587905</v>
      </c>
    </row>
    <row r="240" spans="10:26" x14ac:dyDescent="0.25">
      <c r="J240">
        <v>120</v>
      </c>
      <c r="K240">
        <v>100</v>
      </c>
      <c r="L240">
        <f t="shared" si="36"/>
        <v>-3.7097345399999986</v>
      </c>
      <c r="M240" s="2">
        <f t="shared" si="37"/>
        <v>-7.6767242967597902</v>
      </c>
      <c r="N240">
        <f t="shared" si="38"/>
        <v>7.6778548076576394</v>
      </c>
      <c r="O240">
        <f t="shared" si="39"/>
        <v>14.438629632673322</v>
      </c>
      <c r="P240" s="4">
        <f t="shared" si="40"/>
        <v>10.407344763156587</v>
      </c>
      <c r="Q240" s="4">
        <f t="shared" si="41"/>
        <v>-5.311305214204185</v>
      </c>
      <c r="S240">
        <v>120</v>
      </c>
      <c r="T240">
        <v>100</v>
      </c>
      <c r="U240" s="6">
        <f t="shared" si="42"/>
        <v>-3.7149999999999981</v>
      </c>
      <c r="V240" s="7">
        <f t="shared" si="43"/>
        <v>-7.6768814124213858</v>
      </c>
      <c r="W240" s="6">
        <f t="shared" si="44"/>
        <v>7.6816453315679709</v>
      </c>
      <c r="X240" s="6">
        <f t="shared" si="45"/>
        <v>14.433105992611772</v>
      </c>
      <c r="Y240" s="5">
        <f t="shared" si="46"/>
        <v>10.407374931536211</v>
      </c>
      <c r="Z240" s="5">
        <f t="shared" si="47"/>
        <v>-5.3145083108032756</v>
      </c>
    </row>
    <row r="241" spans="10:26" x14ac:dyDescent="0.25">
      <c r="J241">
        <v>120</v>
      </c>
      <c r="K241">
        <v>110</v>
      </c>
      <c r="L241">
        <f t="shared" si="36"/>
        <v>-3.7097345399999986</v>
      </c>
      <c r="M241" s="2">
        <f t="shared" si="37"/>
        <v>-8.1410587461889072</v>
      </c>
      <c r="N241">
        <f t="shared" si="38"/>
        <v>7.6778548076576394</v>
      </c>
      <c r="O241">
        <f t="shared" si="39"/>
        <v>13.974295183244205</v>
      </c>
      <c r="P241" s="4">
        <f t="shared" si="40"/>
        <v>10.219881602718319</v>
      </c>
      <c r="Q241" s="4">
        <f t="shared" si="41"/>
        <v>-5.4987683746424532</v>
      </c>
      <c r="S241">
        <v>120</v>
      </c>
      <c r="T241">
        <v>110</v>
      </c>
      <c r="U241" s="6">
        <f t="shared" si="42"/>
        <v>-3.7149999999999981</v>
      </c>
      <c r="V241" s="7">
        <f t="shared" si="43"/>
        <v>-8.140327106127355</v>
      </c>
      <c r="W241" s="6">
        <f t="shared" si="44"/>
        <v>7.6816453315679709</v>
      </c>
      <c r="X241" s="6">
        <f t="shared" si="45"/>
        <v>13.969660298905803</v>
      </c>
      <c r="Y241" s="5">
        <f t="shared" si="46"/>
        <v>10.220270583494749</v>
      </c>
      <c r="Z241" s="5">
        <f t="shared" si="47"/>
        <v>-5.5016126588447367</v>
      </c>
    </row>
    <row r="242" spans="10:26" x14ac:dyDescent="0.25">
      <c r="J242">
        <v>120</v>
      </c>
      <c r="K242">
        <v>120</v>
      </c>
      <c r="L242">
        <f t="shared" si="36"/>
        <v>-3.7097345399999986</v>
      </c>
      <c r="M242" s="2">
        <f t="shared" si="37"/>
        <v>-8.5177080810060133</v>
      </c>
      <c r="N242">
        <f t="shared" si="38"/>
        <v>7.6778548076576394</v>
      </c>
      <c r="O242">
        <f t="shared" si="39"/>
        <v>13.436384186484412</v>
      </c>
      <c r="P242" s="4">
        <f t="shared" si="40"/>
        <v>10.002713792724755</v>
      </c>
      <c r="Q242" s="4">
        <f t="shared" si="41"/>
        <v>-5.6508309122564402</v>
      </c>
      <c r="S242">
        <v>120</v>
      </c>
      <c r="T242">
        <v>120</v>
      </c>
      <c r="U242" s="6">
        <f t="shared" si="42"/>
        <v>-3.7149999999999981</v>
      </c>
      <c r="V242" s="7">
        <f t="shared" si="43"/>
        <v>-8.5162555182294888</v>
      </c>
      <c r="W242" s="6">
        <f t="shared" si="44"/>
        <v>7.6816453315679709</v>
      </c>
      <c r="X242" s="6">
        <f t="shared" si="45"/>
        <v>13.432778886484414</v>
      </c>
      <c r="Y242" s="5">
        <f t="shared" si="46"/>
        <v>10.003518441850263</v>
      </c>
      <c r="Z242" s="5">
        <f t="shared" si="47"/>
        <v>-5.6533841423473046</v>
      </c>
    </row>
    <row r="243" spans="10:26" x14ac:dyDescent="0.25">
      <c r="J243">
        <v>120</v>
      </c>
      <c r="K243">
        <v>130</v>
      </c>
      <c r="L243">
        <f t="shared" si="36"/>
        <v>-3.7097345399999986</v>
      </c>
      <c r="M243" s="2">
        <f t="shared" si="37"/>
        <v>-8.7952280017664499</v>
      </c>
      <c r="N243">
        <f t="shared" si="38"/>
        <v>7.6778548076576394</v>
      </c>
      <c r="O243">
        <f t="shared" si="39"/>
        <v>12.841240795834391</v>
      </c>
      <c r="P243" s="4">
        <f t="shared" si="40"/>
        <v>9.7624398671903307</v>
      </c>
      <c r="Q243" s="4">
        <f t="shared" si="41"/>
        <v>-5.7628724837881053</v>
      </c>
      <c r="S243">
        <v>120</v>
      </c>
      <c r="T243">
        <v>130</v>
      </c>
      <c r="U243" s="6">
        <f t="shared" si="42"/>
        <v>-3.7149999999999981</v>
      </c>
      <c r="V243" s="7">
        <f t="shared" si="43"/>
        <v>-8.7932442541550131</v>
      </c>
      <c r="W243" s="6">
        <f t="shared" si="44"/>
        <v>7.6816453315679709</v>
      </c>
      <c r="X243" s="6">
        <f t="shared" si="45"/>
        <v>12.838774625388929</v>
      </c>
      <c r="Y243" s="5">
        <f t="shared" si="46"/>
        <v>9.7637044107447473</v>
      </c>
      <c r="Z243" s="5">
        <f t="shared" si="47"/>
        <v>-5.7652112615848274</v>
      </c>
    </row>
    <row r="244" spans="10:26" x14ac:dyDescent="0.25">
      <c r="J244">
        <v>120</v>
      </c>
      <c r="K244">
        <v>140</v>
      </c>
      <c r="L244">
        <f t="shared" si="36"/>
        <v>-3.7097345399999986</v>
      </c>
      <c r="M244" s="2">
        <f t="shared" si="37"/>
        <v>-8.9651862061097667</v>
      </c>
      <c r="N244">
        <f t="shared" si="38"/>
        <v>7.6778548076576394</v>
      </c>
      <c r="O244">
        <f t="shared" si="39"/>
        <v>12.206948142061956</v>
      </c>
      <c r="P244" s="4">
        <f t="shared" si="40"/>
        <v>9.5063604277579419</v>
      </c>
      <c r="Q244" s="4">
        <f t="shared" si="41"/>
        <v>-5.8314887627822287</v>
      </c>
      <c r="S244">
        <v>120</v>
      </c>
      <c r="T244">
        <v>140</v>
      </c>
      <c r="U244" s="6">
        <f t="shared" si="42"/>
        <v>-3.7149999999999981</v>
      </c>
      <c r="V244" s="7">
        <f t="shared" si="43"/>
        <v>-8.9628771513259018</v>
      </c>
      <c r="W244" s="6">
        <f t="shared" si="44"/>
        <v>7.6816453315679709</v>
      </c>
      <c r="X244" s="6">
        <f t="shared" si="45"/>
        <v>12.205696034512071</v>
      </c>
      <c r="Y244" s="5">
        <f t="shared" si="46"/>
        <v>9.5081151181615855</v>
      </c>
      <c r="Z244" s="5">
        <f t="shared" si="47"/>
        <v>-5.8336962061265289</v>
      </c>
    </row>
    <row r="245" spans="10:26" x14ac:dyDescent="0.25">
      <c r="J245">
        <v>120</v>
      </c>
      <c r="K245">
        <v>150</v>
      </c>
      <c r="L245">
        <f t="shared" si="36"/>
        <v>-3.7097345399999986</v>
      </c>
      <c r="M245" s="2">
        <f t="shared" si="37"/>
        <v>-9.0224185999999946</v>
      </c>
      <c r="N245">
        <f t="shared" si="38"/>
        <v>7.6778548076576394</v>
      </c>
      <c r="O245">
        <f t="shared" si="39"/>
        <v>11.552778886484413</v>
      </c>
      <c r="P245" s="4">
        <f t="shared" si="40"/>
        <v>9.2422563186122897</v>
      </c>
      <c r="Q245" s="4">
        <f t="shared" si="41"/>
        <v>-5.8545948783230868</v>
      </c>
      <c r="S245">
        <v>120</v>
      </c>
      <c r="T245">
        <v>150</v>
      </c>
      <c r="U245" s="6">
        <f t="shared" si="42"/>
        <v>-3.7149999999999981</v>
      </c>
      <c r="V245" s="7">
        <f t="shared" si="43"/>
        <v>-9.02</v>
      </c>
      <c r="W245" s="6">
        <f t="shared" si="44"/>
        <v>7.6816453315679709</v>
      </c>
      <c r="X245" s="6">
        <f t="shared" si="45"/>
        <v>11.552778886484413</v>
      </c>
      <c r="Y245" s="5">
        <f t="shared" si="46"/>
        <v>9.2445165154214948</v>
      </c>
      <c r="Z245" s="5">
        <f t="shared" si="47"/>
        <v>-5.8567580955875602</v>
      </c>
    </row>
    <row r="246" spans="10:26" x14ac:dyDescent="0.25">
      <c r="J246">
        <v>120</v>
      </c>
      <c r="K246">
        <v>160</v>
      </c>
      <c r="L246">
        <f t="shared" si="36"/>
        <v>-3.7097345399999986</v>
      </c>
      <c r="M246" s="2">
        <f t="shared" si="37"/>
        <v>-8.9651862061097667</v>
      </c>
      <c r="N246">
        <f t="shared" si="38"/>
        <v>7.6778548076576394</v>
      </c>
      <c r="O246">
        <f t="shared" si="39"/>
        <v>10.89860963090687</v>
      </c>
      <c r="P246" s="4">
        <f t="shared" si="40"/>
        <v>8.9781522094666357</v>
      </c>
      <c r="Q246" s="4">
        <f t="shared" si="41"/>
        <v>-5.8314887627822287</v>
      </c>
      <c r="S246">
        <v>120</v>
      </c>
      <c r="T246">
        <v>160</v>
      </c>
      <c r="U246" s="6">
        <f t="shared" si="42"/>
        <v>-3.7149999999999981</v>
      </c>
      <c r="V246" s="7">
        <f t="shared" si="43"/>
        <v>-8.9628771513259018</v>
      </c>
      <c r="W246" s="6">
        <f t="shared" si="44"/>
        <v>7.6816453315679709</v>
      </c>
      <c r="X246" s="6">
        <f t="shared" si="45"/>
        <v>10.899861738456755</v>
      </c>
      <c r="Y246" s="5">
        <f t="shared" si="46"/>
        <v>8.980917912681404</v>
      </c>
      <c r="Z246" s="5">
        <f t="shared" si="47"/>
        <v>-5.8336962061265289</v>
      </c>
    </row>
    <row r="247" spans="10:26" x14ac:dyDescent="0.25">
      <c r="J247">
        <v>120</v>
      </c>
      <c r="K247">
        <v>170</v>
      </c>
      <c r="L247">
        <f t="shared" si="36"/>
        <v>-3.7097345399999986</v>
      </c>
      <c r="M247" s="2">
        <f t="shared" si="37"/>
        <v>-8.7952280017664499</v>
      </c>
      <c r="N247">
        <f t="shared" si="38"/>
        <v>7.6778548076576394</v>
      </c>
      <c r="O247">
        <f t="shared" si="39"/>
        <v>10.264316977134435</v>
      </c>
      <c r="P247" s="4">
        <f t="shared" si="40"/>
        <v>8.7220727700342451</v>
      </c>
      <c r="Q247" s="4">
        <f t="shared" si="41"/>
        <v>-5.7628724837881053</v>
      </c>
      <c r="S247">
        <v>120</v>
      </c>
      <c r="T247">
        <v>170</v>
      </c>
      <c r="U247" s="6">
        <f t="shared" si="42"/>
        <v>-3.7149999999999981</v>
      </c>
      <c r="V247" s="7">
        <f t="shared" si="43"/>
        <v>-8.7932442541550149</v>
      </c>
      <c r="W247" s="6">
        <f t="shared" si="44"/>
        <v>7.6816453315679709</v>
      </c>
      <c r="X247" s="6">
        <f t="shared" si="45"/>
        <v>10.266783147579899</v>
      </c>
      <c r="Y247" s="5">
        <f t="shared" si="46"/>
        <v>8.7253286200982423</v>
      </c>
      <c r="Z247" s="5">
        <f t="shared" si="47"/>
        <v>-5.7652112615848283</v>
      </c>
    </row>
    <row r="248" spans="10:26" x14ac:dyDescent="0.25">
      <c r="J248">
        <v>120</v>
      </c>
      <c r="K248">
        <v>180</v>
      </c>
      <c r="L248">
        <f t="shared" si="36"/>
        <v>-3.7097345399999986</v>
      </c>
      <c r="M248" s="2">
        <f t="shared" si="37"/>
        <v>-8.5177080810060133</v>
      </c>
      <c r="N248">
        <f t="shared" si="38"/>
        <v>7.6778548076576394</v>
      </c>
      <c r="O248">
        <f t="shared" si="39"/>
        <v>9.6691735864844137</v>
      </c>
      <c r="P248" s="4">
        <f t="shared" si="40"/>
        <v>8.4817988444998225</v>
      </c>
      <c r="Q248" s="4">
        <f t="shared" si="41"/>
        <v>-5.6508309122564402</v>
      </c>
      <c r="S248">
        <v>120</v>
      </c>
      <c r="T248">
        <v>180</v>
      </c>
      <c r="U248" s="6">
        <f t="shared" si="42"/>
        <v>-3.7149999999999981</v>
      </c>
      <c r="V248" s="7">
        <f t="shared" si="43"/>
        <v>-8.516255518229487</v>
      </c>
      <c r="W248" s="6">
        <f t="shared" si="44"/>
        <v>7.6816453315679709</v>
      </c>
      <c r="X248" s="6">
        <f t="shared" si="45"/>
        <v>9.6727788864844122</v>
      </c>
      <c r="Y248" s="5">
        <f t="shared" si="46"/>
        <v>8.4855145889927268</v>
      </c>
      <c r="Z248" s="5">
        <f t="shared" si="47"/>
        <v>-5.6533841423473046</v>
      </c>
    </row>
    <row r="249" spans="10:26" x14ac:dyDescent="0.25">
      <c r="J249">
        <v>130</v>
      </c>
      <c r="K249">
        <v>0</v>
      </c>
      <c r="L249">
        <f t="shared" si="36"/>
        <v>-4.9756356679750153</v>
      </c>
      <c r="M249" s="2">
        <f t="shared" si="37"/>
        <v>-4.2741439670295254</v>
      </c>
      <c r="N249">
        <f t="shared" si="38"/>
        <v>6.7914612952213593</v>
      </c>
      <c r="O249">
        <f t="shared" si="39"/>
        <v>12.640549167966959</v>
      </c>
      <c r="P249" s="4">
        <f t="shared" si="40"/>
        <v>9.1528809565325595</v>
      </c>
      <c r="Q249" s="4">
        <f t="shared" si="41"/>
        <v>-4.6924263315966002</v>
      </c>
      <c r="S249">
        <v>130</v>
      </c>
      <c r="T249">
        <v>0</v>
      </c>
      <c r="U249" s="6">
        <f t="shared" si="42"/>
        <v>-4.9815260979196037</v>
      </c>
      <c r="V249" s="7">
        <f t="shared" si="43"/>
        <v>-4.2844596070910761</v>
      </c>
      <c r="W249" s="6">
        <f t="shared" si="44"/>
        <v>6.7948142104653346</v>
      </c>
      <c r="X249" s="6">
        <f t="shared" si="45"/>
        <v>12.635914283628555</v>
      </c>
      <c r="Y249" s="5">
        <f t="shared" si="46"/>
        <v>9.1530090019515598</v>
      </c>
      <c r="Z249" s="5">
        <f t="shared" si="47"/>
        <v>-4.7001033269686499</v>
      </c>
    </row>
    <row r="250" spans="10:26" x14ac:dyDescent="0.25">
      <c r="J250">
        <v>130</v>
      </c>
      <c r="K250">
        <v>10</v>
      </c>
      <c r="L250">
        <f t="shared" si="36"/>
        <v>-4.9756356679750153</v>
      </c>
      <c r="M250" s="2">
        <f t="shared" si="37"/>
        <v>-4.7384784164586424</v>
      </c>
      <c r="N250">
        <f t="shared" si="38"/>
        <v>6.7914612952213593</v>
      </c>
      <c r="O250">
        <f t="shared" si="39"/>
        <v>13.104883617396077</v>
      </c>
      <c r="P250" s="4">
        <f t="shared" si="40"/>
        <v>9.3403441169708259</v>
      </c>
      <c r="Q250" s="4">
        <f t="shared" si="41"/>
        <v>-4.8798894920348674</v>
      </c>
      <c r="S250">
        <v>130</v>
      </c>
      <c r="T250">
        <v>10</v>
      </c>
      <c r="U250" s="6">
        <f t="shared" si="42"/>
        <v>-4.9815260979196037</v>
      </c>
      <c r="V250" s="7">
        <f t="shared" si="43"/>
        <v>-4.7479053007970453</v>
      </c>
      <c r="W250" s="6">
        <f t="shared" si="44"/>
        <v>6.7948142104653346</v>
      </c>
      <c r="X250" s="6">
        <f t="shared" si="45"/>
        <v>13.099359977334526</v>
      </c>
      <c r="Y250" s="5">
        <f t="shared" si="46"/>
        <v>9.3401133499930218</v>
      </c>
      <c r="Z250" s="5">
        <f t="shared" si="47"/>
        <v>-4.887207675010111</v>
      </c>
    </row>
    <row r="251" spans="10:26" x14ac:dyDescent="0.25">
      <c r="J251">
        <v>130</v>
      </c>
      <c r="K251">
        <v>20</v>
      </c>
      <c r="L251">
        <f t="shared" si="36"/>
        <v>-4.9756356679750153</v>
      </c>
      <c r="M251" s="2">
        <f t="shared" si="37"/>
        <v>-5.2763894132184355</v>
      </c>
      <c r="N251">
        <f t="shared" si="38"/>
        <v>6.7914612952213593</v>
      </c>
      <c r="O251">
        <f t="shared" si="39"/>
        <v>13.481532952213183</v>
      </c>
      <c r="P251" s="4">
        <f t="shared" si="40"/>
        <v>9.4924066545848138</v>
      </c>
      <c r="Q251" s="4">
        <f t="shared" si="41"/>
        <v>-5.0970573020284329</v>
      </c>
      <c r="S251">
        <v>130</v>
      </c>
      <c r="T251">
        <v>20</v>
      </c>
      <c r="U251" s="6">
        <f t="shared" si="42"/>
        <v>-4.9815260979196037</v>
      </c>
      <c r="V251" s="7">
        <f t="shared" si="43"/>
        <v>-5.2847867132184341</v>
      </c>
      <c r="W251" s="6">
        <f t="shared" si="44"/>
        <v>6.7948142104653346</v>
      </c>
      <c r="X251" s="6">
        <f t="shared" si="45"/>
        <v>13.475288389436658</v>
      </c>
      <c r="Y251" s="5">
        <f t="shared" si="46"/>
        <v>9.4918848334955879</v>
      </c>
      <c r="Z251" s="5">
        <f t="shared" si="47"/>
        <v>-5.1039598166545961</v>
      </c>
    </row>
    <row r="252" spans="10:26" x14ac:dyDescent="0.25">
      <c r="J252">
        <v>130</v>
      </c>
      <c r="K252">
        <v>30</v>
      </c>
      <c r="L252">
        <f t="shared" si="36"/>
        <v>-4.9756356679750153</v>
      </c>
      <c r="M252" s="2">
        <f t="shared" si="37"/>
        <v>-5.8715328038684564</v>
      </c>
      <c r="N252">
        <f t="shared" si="38"/>
        <v>6.7914612952213593</v>
      </c>
      <c r="O252">
        <f t="shared" si="39"/>
        <v>13.759052872973619</v>
      </c>
      <c r="P252" s="4">
        <f t="shared" si="40"/>
        <v>9.6044482261164799</v>
      </c>
      <c r="Q252" s="4">
        <f t="shared" si="41"/>
        <v>-5.3373312275628546</v>
      </c>
      <c r="S252">
        <v>130</v>
      </c>
      <c r="T252">
        <v>30</v>
      </c>
      <c r="U252" s="6">
        <f t="shared" si="42"/>
        <v>-4.9815260979196037</v>
      </c>
      <c r="V252" s="7">
        <f t="shared" si="43"/>
        <v>-5.8787909743139197</v>
      </c>
      <c r="W252" s="6">
        <f t="shared" si="44"/>
        <v>6.7948142104653346</v>
      </c>
      <c r="X252" s="6">
        <f t="shared" si="45"/>
        <v>13.752277125362184</v>
      </c>
      <c r="Y252" s="5">
        <f t="shared" si="46"/>
        <v>9.6037119527331107</v>
      </c>
      <c r="Z252" s="5">
        <f t="shared" si="47"/>
        <v>-5.3437738477601124</v>
      </c>
    </row>
    <row r="253" spans="10:26" x14ac:dyDescent="0.25">
      <c r="J253">
        <v>130</v>
      </c>
      <c r="K253">
        <v>40</v>
      </c>
      <c r="L253">
        <f t="shared" si="36"/>
        <v>-4.9756356679750153</v>
      </c>
      <c r="M253" s="2">
        <f t="shared" si="37"/>
        <v>-6.5058254576408912</v>
      </c>
      <c r="N253">
        <f t="shared" si="38"/>
        <v>6.7914612952213593</v>
      </c>
      <c r="O253">
        <f t="shared" si="39"/>
        <v>13.929011077316938</v>
      </c>
      <c r="P253" s="4">
        <f t="shared" si="40"/>
        <v>9.6730645051106023</v>
      </c>
      <c r="Q253" s="4">
        <f t="shared" si="41"/>
        <v>-5.5934106669952453</v>
      </c>
      <c r="S253">
        <v>130</v>
      </c>
      <c r="T253">
        <v>40</v>
      </c>
      <c r="U253" s="6">
        <f t="shared" si="42"/>
        <v>-4.9815260979196037</v>
      </c>
      <c r="V253" s="7">
        <f t="shared" si="43"/>
        <v>-6.5118695651907759</v>
      </c>
      <c r="W253" s="6">
        <f t="shared" si="44"/>
        <v>6.7948142104653346</v>
      </c>
      <c r="X253" s="6">
        <f t="shared" si="45"/>
        <v>13.921910022533071</v>
      </c>
      <c r="Y253" s="5">
        <f t="shared" si="46"/>
        <v>9.672196897274814</v>
      </c>
      <c r="Z253" s="5">
        <f t="shared" si="47"/>
        <v>-5.5993631403432751</v>
      </c>
    </row>
    <row r="254" spans="10:26" x14ac:dyDescent="0.25">
      <c r="J254">
        <v>130</v>
      </c>
      <c r="K254">
        <v>50</v>
      </c>
      <c r="L254">
        <f t="shared" si="36"/>
        <v>-4.9756356679750153</v>
      </c>
      <c r="M254" s="2">
        <f t="shared" si="37"/>
        <v>-7.1599947132184347</v>
      </c>
      <c r="N254">
        <f t="shared" si="38"/>
        <v>6.7914612952213593</v>
      </c>
      <c r="O254">
        <f t="shared" si="39"/>
        <v>13.986243471207166</v>
      </c>
      <c r="P254" s="4">
        <f t="shared" si="40"/>
        <v>9.6961706206514613</v>
      </c>
      <c r="Q254" s="4">
        <f t="shared" si="41"/>
        <v>-5.8575147761408992</v>
      </c>
      <c r="S254">
        <v>130</v>
      </c>
      <c r="T254">
        <v>50</v>
      </c>
      <c r="U254" s="6">
        <f t="shared" si="42"/>
        <v>-4.9815260979196037</v>
      </c>
      <c r="V254" s="7">
        <f t="shared" si="43"/>
        <v>-7.1647867132184349</v>
      </c>
      <c r="W254" s="6">
        <f t="shared" si="44"/>
        <v>6.7948142104653346</v>
      </c>
      <c r="X254" s="6">
        <f t="shared" si="45"/>
        <v>13.979032871207169</v>
      </c>
      <c r="Y254" s="5">
        <f t="shared" si="46"/>
        <v>9.6952587867358435</v>
      </c>
      <c r="Z254" s="5">
        <f t="shared" si="47"/>
        <v>-5.8629617430833649</v>
      </c>
    </row>
    <row r="255" spans="10:26" x14ac:dyDescent="0.25">
      <c r="J255">
        <v>130</v>
      </c>
      <c r="K255">
        <v>60</v>
      </c>
      <c r="L255">
        <f t="shared" si="36"/>
        <v>-4.9756356679750153</v>
      </c>
      <c r="M255" s="2">
        <f t="shared" si="37"/>
        <v>-7.8141639687959774</v>
      </c>
      <c r="N255">
        <f t="shared" si="38"/>
        <v>6.7914612952213593</v>
      </c>
      <c r="O255">
        <f t="shared" si="39"/>
        <v>13.929011077316938</v>
      </c>
      <c r="P255" s="4">
        <f t="shared" si="40"/>
        <v>9.6730645051106023</v>
      </c>
      <c r="Q255" s="4">
        <f t="shared" si="41"/>
        <v>-6.1216188852865523</v>
      </c>
      <c r="S255">
        <v>130</v>
      </c>
      <c r="T255">
        <v>60</v>
      </c>
      <c r="U255" s="6">
        <f t="shared" si="42"/>
        <v>-4.9815260979196037</v>
      </c>
      <c r="V255" s="7">
        <f t="shared" si="43"/>
        <v>-7.817703861246093</v>
      </c>
      <c r="W255" s="6">
        <f t="shared" si="44"/>
        <v>6.7948142104653346</v>
      </c>
      <c r="X255" s="6">
        <f t="shared" si="45"/>
        <v>13.921910022533071</v>
      </c>
      <c r="Y255" s="5">
        <f t="shared" si="46"/>
        <v>9.672196897274814</v>
      </c>
      <c r="Z255" s="5">
        <f t="shared" si="47"/>
        <v>-6.1265603458234557</v>
      </c>
    </row>
    <row r="256" spans="10:26" x14ac:dyDescent="0.25">
      <c r="J256">
        <v>130</v>
      </c>
      <c r="K256">
        <v>70</v>
      </c>
      <c r="L256">
        <f t="shared" si="36"/>
        <v>-4.9756356679750153</v>
      </c>
      <c r="M256" s="2">
        <f t="shared" si="37"/>
        <v>-8.448456622568413</v>
      </c>
      <c r="N256">
        <f t="shared" si="38"/>
        <v>6.7914612952213593</v>
      </c>
      <c r="O256">
        <f t="shared" si="39"/>
        <v>13.759052872973621</v>
      </c>
      <c r="P256" s="4">
        <f t="shared" si="40"/>
        <v>9.6044482261164799</v>
      </c>
      <c r="Q256" s="4">
        <f t="shared" si="41"/>
        <v>-6.377698324718942</v>
      </c>
      <c r="S256">
        <v>130</v>
      </c>
      <c r="T256">
        <v>70</v>
      </c>
      <c r="U256" s="6">
        <f t="shared" si="42"/>
        <v>-4.9815260979196037</v>
      </c>
      <c r="V256" s="7">
        <f t="shared" si="43"/>
        <v>-8.4507824521229491</v>
      </c>
      <c r="W256" s="6">
        <f t="shared" si="44"/>
        <v>6.7948142104653346</v>
      </c>
      <c r="X256" s="6">
        <f t="shared" si="45"/>
        <v>13.752277125362184</v>
      </c>
      <c r="Y256" s="5">
        <f t="shared" si="46"/>
        <v>9.6037119527331107</v>
      </c>
      <c r="Z256" s="5">
        <f t="shared" si="47"/>
        <v>-6.3821496384066165</v>
      </c>
    </row>
    <row r="257" spans="10:26" x14ac:dyDescent="0.25">
      <c r="J257">
        <v>130</v>
      </c>
      <c r="K257">
        <v>80</v>
      </c>
      <c r="L257">
        <f t="shared" si="36"/>
        <v>-4.9756356679750153</v>
      </c>
      <c r="M257" s="2">
        <f t="shared" si="37"/>
        <v>-9.043600013218434</v>
      </c>
      <c r="N257">
        <f t="shared" si="38"/>
        <v>6.7914612952213593</v>
      </c>
      <c r="O257">
        <f t="shared" si="39"/>
        <v>13.481532952213183</v>
      </c>
      <c r="P257" s="4">
        <f t="shared" si="40"/>
        <v>9.4924066545848138</v>
      </c>
      <c r="Q257" s="4">
        <f t="shared" si="41"/>
        <v>-6.6179722502533656</v>
      </c>
      <c r="S257">
        <v>130</v>
      </c>
      <c r="T257">
        <v>80</v>
      </c>
      <c r="U257" s="6">
        <f t="shared" si="42"/>
        <v>-4.9815260979196037</v>
      </c>
      <c r="V257" s="7">
        <f t="shared" si="43"/>
        <v>-9.0447867132184356</v>
      </c>
      <c r="W257" s="6">
        <f t="shared" si="44"/>
        <v>6.7948142104653346</v>
      </c>
      <c r="X257" s="6">
        <f t="shared" si="45"/>
        <v>13.475288389436658</v>
      </c>
      <c r="Y257" s="5">
        <f t="shared" si="46"/>
        <v>9.4918848334955879</v>
      </c>
      <c r="Z257" s="5">
        <f t="shared" si="47"/>
        <v>-6.6219636695121329</v>
      </c>
    </row>
    <row r="258" spans="10:26" x14ac:dyDescent="0.25">
      <c r="J258">
        <v>130</v>
      </c>
      <c r="K258">
        <v>90</v>
      </c>
      <c r="L258">
        <f t="shared" si="36"/>
        <v>-4.9756356679750153</v>
      </c>
      <c r="M258" s="2">
        <f t="shared" si="37"/>
        <v>-9.581511009978227</v>
      </c>
      <c r="N258">
        <f t="shared" si="38"/>
        <v>6.7914612952213593</v>
      </c>
      <c r="O258">
        <f t="shared" si="39"/>
        <v>13.104883617396077</v>
      </c>
      <c r="P258" s="4">
        <f t="shared" si="40"/>
        <v>9.3403441169708259</v>
      </c>
      <c r="Q258" s="4">
        <f t="shared" si="41"/>
        <v>-6.835140060246931</v>
      </c>
      <c r="S258">
        <v>130</v>
      </c>
      <c r="T258">
        <v>90</v>
      </c>
      <c r="U258" s="6">
        <f t="shared" si="42"/>
        <v>-4.9815260979196037</v>
      </c>
      <c r="V258" s="7">
        <f t="shared" si="43"/>
        <v>-9.5816681256398244</v>
      </c>
      <c r="W258" s="6">
        <f t="shared" si="44"/>
        <v>6.7948142104653346</v>
      </c>
      <c r="X258" s="6">
        <f t="shared" si="45"/>
        <v>13.099359977334526</v>
      </c>
      <c r="Y258" s="5">
        <f t="shared" si="46"/>
        <v>9.3401133499930218</v>
      </c>
      <c r="Z258" s="5">
        <f t="shared" si="47"/>
        <v>-6.8387158111566171</v>
      </c>
    </row>
    <row r="259" spans="10:26" x14ac:dyDescent="0.25">
      <c r="J259">
        <v>130</v>
      </c>
      <c r="K259">
        <v>100</v>
      </c>
      <c r="L259">
        <f t="shared" ref="L259:L322" si="48">0.723077+8.86562308*COS(J259*PI()/180)</f>
        <v>-4.9756356679750153</v>
      </c>
      <c r="M259" s="2">
        <f t="shared" ref="M259:M322" si="49">1.414792+(13.34*COS(J259*PI()/180))+((17.1072106-13.34)*COS(((K259+J259-90)*PI()/180)))</f>
        <v>-10.045845459407344</v>
      </c>
      <c r="N259">
        <f t="shared" ref="N259:N322" si="50">8.86562308*SIN(J259*PI()/180)</f>
        <v>6.7914612952213593</v>
      </c>
      <c r="O259">
        <f t="shared" ref="O259:O322" si="51">(13.34*SIN(J259*PI()/180))+((17.1072106-13.34)*SIN((K259+J259-90)*PI()/180))</f>
        <v>12.640549167966959</v>
      </c>
      <c r="P259" s="4">
        <f t="shared" ref="P259:P322" si="52">((130*N259)+(88.02*O259))/(130+88.02)</f>
        <v>9.1528809565325595</v>
      </c>
      <c r="Q259" s="4">
        <f t="shared" ref="Q259:Q322" si="53">((130*L259)+(88.02*M259))/(130+88.02)</f>
        <v>-7.0226032206851965</v>
      </c>
      <c r="S259">
        <v>130</v>
      </c>
      <c r="T259">
        <v>100</v>
      </c>
      <c r="U259" s="6">
        <f t="shared" ref="U259:U322" si="54">0.72+8.87*COS(S259*PI()/180)</f>
        <v>-4.9815260979196037</v>
      </c>
      <c r="V259" s="7">
        <f t="shared" ref="V259:V322" si="55">1.41+(13.34*COS(S259*PI()/180))+((17.1-13.34)*COS(((T259+S259-90)*PI()/180)))</f>
        <v>-10.045113819345794</v>
      </c>
      <c r="W259" s="6">
        <f t="shared" ref="W259:W322" si="56">8.87*SIN(S259*PI()/180)</f>
        <v>6.7948142104653346</v>
      </c>
      <c r="X259" s="6">
        <f t="shared" ref="X259:X322" si="57">(13.34*SIN(S259*PI()/180))+((17.1-13.34)*SIN((T259+S259-90)*PI()/180))</f>
        <v>12.635914283628557</v>
      </c>
      <c r="Y259" s="5">
        <f t="shared" ref="Y259:Y322" si="58">((130*W259)+(88.02*X259))/(130+88.02)</f>
        <v>9.1530090019515598</v>
      </c>
      <c r="Z259" s="5">
        <f t="shared" ref="Z259:Z322" si="59">((130*U259)+(88.02*V259))/(130+88.02)</f>
        <v>-7.0258201591980791</v>
      </c>
    </row>
    <row r="260" spans="10:26" x14ac:dyDescent="0.25">
      <c r="J260">
        <v>130</v>
      </c>
      <c r="K260">
        <v>110</v>
      </c>
      <c r="L260">
        <f t="shared" si="48"/>
        <v>-4.9756356679750153</v>
      </c>
      <c r="M260" s="2">
        <f t="shared" si="49"/>
        <v>-10.422494794224452</v>
      </c>
      <c r="N260">
        <f t="shared" si="50"/>
        <v>6.7914612952213593</v>
      </c>
      <c r="O260">
        <f t="shared" si="51"/>
        <v>12.102638171207166</v>
      </c>
      <c r="P260" s="4">
        <f t="shared" si="52"/>
        <v>8.9357131465389941</v>
      </c>
      <c r="Q260" s="4">
        <f t="shared" si="53"/>
        <v>-7.1746657582991853</v>
      </c>
      <c r="S260">
        <v>130</v>
      </c>
      <c r="T260">
        <v>110</v>
      </c>
      <c r="U260" s="6">
        <f t="shared" si="54"/>
        <v>-4.9815260979196037</v>
      </c>
      <c r="V260" s="7">
        <f t="shared" si="55"/>
        <v>-10.421042231447926</v>
      </c>
      <c r="W260" s="6">
        <f t="shared" si="56"/>
        <v>6.7948142104653346</v>
      </c>
      <c r="X260" s="6">
        <f t="shared" si="57"/>
        <v>12.099032871207168</v>
      </c>
      <c r="Y260" s="5">
        <f t="shared" si="58"/>
        <v>8.9362568603070756</v>
      </c>
      <c r="Z260" s="5">
        <f t="shared" si="59"/>
        <v>-7.177591642700647</v>
      </c>
    </row>
    <row r="261" spans="10:26" x14ac:dyDescent="0.25">
      <c r="J261">
        <v>130</v>
      </c>
      <c r="K261">
        <v>120</v>
      </c>
      <c r="L261">
        <f t="shared" si="48"/>
        <v>-4.9756356679750153</v>
      </c>
      <c r="M261" s="2">
        <f t="shared" si="49"/>
        <v>-10.700014714984889</v>
      </c>
      <c r="N261">
        <f t="shared" si="50"/>
        <v>6.7914612952213593</v>
      </c>
      <c r="O261">
        <f t="shared" si="51"/>
        <v>11.507494780557145</v>
      </c>
      <c r="P261" s="4">
        <f t="shared" si="52"/>
        <v>8.6954392210045732</v>
      </c>
      <c r="Q261" s="4">
        <f t="shared" si="53"/>
        <v>-7.2867073298308505</v>
      </c>
      <c r="S261">
        <v>130</v>
      </c>
      <c r="T261">
        <v>120</v>
      </c>
      <c r="U261" s="6">
        <f t="shared" si="54"/>
        <v>-4.9815260979196037</v>
      </c>
      <c r="V261" s="7">
        <f t="shared" si="55"/>
        <v>-10.698030967373452</v>
      </c>
      <c r="W261" s="6">
        <f t="shared" si="56"/>
        <v>6.7948142104653346</v>
      </c>
      <c r="X261" s="6">
        <f t="shared" si="57"/>
        <v>11.505028610111683</v>
      </c>
      <c r="Y261" s="5">
        <f t="shared" si="58"/>
        <v>8.6964428292015601</v>
      </c>
      <c r="Z261" s="5">
        <f t="shared" si="59"/>
        <v>-7.289418761938169</v>
      </c>
    </row>
    <row r="262" spans="10:26" x14ac:dyDescent="0.25">
      <c r="J262">
        <v>130</v>
      </c>
      <c r="K262">
        <v>130</v>
      </c>
      <c r="L262">
        <f t="shared" si="48"/>
        <v>-4.9756356679750153</v>
      </c>
      <c r="M262" s="2">
        <f t="shared" si="49"/>
        <v>-10.869972919328205</v>
      </c>
      <c r="N262">
        <f t="shared" si="50"/>
        <v>6.7914612952213593</v>
      </c>
      <c r="O262">
        <f t="shared" si="51"/>
        <v>10.87320212678471</v>
      </c>
      <c r="P262" s="4">
        <f t="shared" si="52"/>
        <v>8.4393597815721808</v>
      </c>
      <c r="Q262" s="4">
        <f t="shared" si="53"/>
        <v>-7.3553236088249738</v>
      </c>
      <c r="S262">
        <v>130</v>
      </c>
      <c r="T262">
        <v>130</v>
      </c>
      <c r="U262" s="6">
        <f t="shared" si="54"/>
        <v>-4.9815260979196037</v>
      </c>
      <c r="V262" s="7">
        <f t="shared" si="55"/>
        <v>-10.867663864544339</v>
      </c>
      <c r="W262" s="6">
        <f t="shared" si="56"/>
        <v>6.7948142104653346</v>
      </c>
      <c r="X262" s="6">
        <f t="shared" si="57"/>
        <v>10.871950019234825</v>
      </c>
      <c r="Y262" s="5">
        <f t="shared" si="58"/>
        <v>8.4408535366183965</v>
      </c>
      <c r="Z262" s="5">
        <f t="shared" si="59"/>
        <v>-7.3579037064798696</v>
      </c>
    </row>
    <row r="263" spans="10:26" x14ac:dyDescent="0.25">
      <c r="J263">
        <v>130</v>
      </c>
      <c r="K263">
        <v>140</v>
      </c>
      <c r="L263">
        <f t="shared" si="48"/>
        <v>-4.9756356679750153</v>
      </c>
      <c r="M263" s="2">
        <f t="shared" si="49"/>
        <v>-10.927205313218433</v>
      </c>
      <c r="N263">
        <f t="shared" si="50"/>
        <v>6.7914612952213593</v>
      </c>
      <c r="O263">
        <f t="shared" si="51"/>
        <v>10.219032871207167</v>
      </c>
      <c r="P263" s="4">
        <f t="shared" si="52"/>
        <v>8.1752556724265286</v>
      </c>
      <c r="Q263" s="4">
        <f t="shared" si="53"/>
        <v>-7.3784297243658328</v>
      </c>
      <c r="S263">
        <v>130</v>
      </c>
      <c r="T263">
        <v>140</v>
      </c>
      <c r="U263" s="6">
        <f t="shared" si="54"/>
        <v>-4.9815260979196037</v>
      </c>
      <c r="V263" s="7">
        <f t="shared" si="55"/>
        <v>-10.924786713218436</v>
      </c>
      <c r="W263" s="6">
        <f t="shared" si="56"/>
        <v>6.7948142104653346</v>
      </c>
      <c r="X263" s="6">
        <f t="shared" si="57"/>
        <v>10.219032871207167</v>
      </c>
      <c r="Y263" s="5">
        <f t="shared" si="58"/>
        <v>8.1772549338783058</v>
      </c>
      <c r="Z263" s="5">
        <f t="shared" si="59"/>
        <v>-7.3809655959409008</v>
      </c>
    </row>
    <row r="264" spans="10:26" x14ac:dyDescent="0.25">
      <c r="J264">
        <v>130</v>
      </c>
      <c r="K264">
        <v>150</v>
      </c>
      <c r="L264">
        <f t="shared" si="48"/>
        <v>-4.9756356679750153</v>
      </c>
      <c r="M264" s="2">
        <f t="shared" si="49"/>
        <v>-10.869972919328205</v>
      </c>
      <c r="N264">
        <f t="shared" si="50"/>
        <v>6.7914612952213593</v>
      </c>
      <c r="O264">
        <f t="shared" si="51"/>
        <v>9.5648636156296245</v>
      </c>
      <c r="P264" s="4">
        <f t="shared" si="52"/>
        <v>7.9111515632808747</v>
      </c>
      <c r="Q264" s="4">
        <f t="shared" si="53"/>
        <v>-7.3553236088249738</v>
      </c>
      <c r="S264">
        <v>130</v>
      </c>
      <c r="T264">
        <v>150</v>
      </c>
      <c r="U264" s="6">
        <f t="shared" si="54"/>
        <v>-4.9815260979196037</v>
      </c>
      <c r="V264" s="7">
        <f t="shared" si="55"/>
        <v>-10.867663864544339</v>
      </c>
      <c r="W264" s="6">
        <f t="shared" si="56"/>
        <v>6.7948142104653346</v>
      </c>
      <c r="X264" s="6">
        <f t="shared" si="57"/>
        <v>9.5661157231795091</v>
      </c>
      <c r="Y264" s="5">
        <f t="shared" si="58"/>
        <v>7.913656331138216</v>
      </c>
      <c r="Z264" s="5">
        <f t="shared" si="59"/>
        <v>-7.3579037064798696</v>
      </c>
    </row>
    <row r="265" spans="10:26" x14ac:dyDescent="0.25">
      <c r="J265">
        <v>130</v>
      </c>
      <c r="K265">
        <v>160</v>
      </c>
      <c r="L265">
        <f t="shared" si="48"/>
        <v>-4.9756356679750153</v>
      </c>
      <c r="M265" s="2">
        <f t="shared" si="49"/>
        <v>-10.700014714984889</v>
      </c>
      <c r="N265">
        <f t="shared" si="50"/>
        <v>6.7914612952213593</v>
      </c>
      <c r="O265">
        <f t="shared" si="51"/>
        <v>8.9305709618571889</v>
      </c>
      <c r="P265" s="4">
        <f t="shared" si="52"/>
        <v>7.6550721238484849</v>
      </c>
      <c r="Q265" s="4">
        <f t="shared" si="53"/>
        <v>-7.2867073298308505</v>
      </c>
      <c r="S265">
        <v>130</v>
      </c>
      <c r="T265">
        <v>160</v>
      </c>
      <c r="U265" s="6">
        <f t="shared" si="54"/>
        <v>-4.9815260979196037</v>
      </c>
      <c r="V265" s="7">
        <f t="shared" si="55"/>
        <v>-10.698030967373452</v>
      </c>
      <c r="W265" s="6">
        <f t="shared" si="56"/>
        <v>6.7948142104653346</v>
      </c>
      <c r="X265" s="6">
        <f t="shared" si="57"/>
        <v>8.9330371323026529</v>
      </c>
      <c r="Y265" s="5">
        <f t="shared" si="58"/>
        <v>7.6580670385550551</v>
      </c>
      <c r="Z265" s="5">
        <f t="shared" si="59"/>
        <v>-7.289418761938169</v>
      </c>
    </row>
    <row r="266" spans="10:26" x14ac:dyDescent="0.25">
      <c r="J266">
        <v>130</v>
      </c>
      <c r="K266">
        <v>170</v>
      </c>
      <c r="L266">
        <f t="shared" si="48"/>
        <v>-4.9756356679750153</v>
      </c>
      <c r="M266" s="2">
        <f t="shared" si="49"/>
        <v>-10.42249479422445</v>
      </c>
      <c r="N266">
        <f t="shared" si="50"/>
        <v>6.7914612952213593</v>
      </c>
      <c r="O266">
        <f t="shared" si="51"/>
        <v>8.3354275712071679</v>
      </c>
      <c r="P266" s="4">
        <f t="shared" si="52"/>
        <v>7.4147981983140623</v>
      </c>
      <c r="Q266" s="4">
        <f t="shared" si="53"/>
        <v>-7.1746657582991853</v>
      </c>
      <c r="S266">
        <v>130</v>
      </c>
      <c r="T266">
        <v>170</v>
      </c>
      <c r="U266" s="6">
        <f t="shared" si="54"/>
        <v>-4.9815260979196037</v>
      </c>
      <c r="V266" s="7">
        <f t="shared" si="55"/>
        <v>-10.421042231447926</v>
      </c>
      <c r="W266" s="6">
        <f t="shared" si="56"/>
        <v>6.7948142104653346</v>
      </c>
      <c r="X266" s="6">
        <f t="shared" si="57"/>
        <v>8.3390328712071664</v>
      </c>
      <c r="Y266" s="5">
        <f t="shared" si="58"/>
        <v>7.4182530074495379</v>
      </c>
      <c r="Z266" s="5">
        <f t="shared" si="59"/>
        <v>-7.177591642700647</v>
      </c>
    </row>
    <row r="267" spans="10:26" x14ac:dyDescent="0.25">
      <c r="J267">
        <v>130</v>
      </c>
      <c r="K267">
        <v>180</v>
      </c>
      <c r="L267">
        <f t="shared" si="48"/>
        <v>-4.9756356679750153</v>
      </c>
      <c r="M267" s="2">
        <f t="shared" si="49"/>
        <v>-10.045845459407344</v>
      </c>
      <c r="N267">
        <f t="shared" si="50"/>
        <v>6.7914612952213593</v>
      </c>
      <c r="O267">
        <f t="shared" si="51"/>
        <v>7.7975165744473749</v>
      </c>
      <c r="P267" s="4">
        <f t="shared" si="52"/>
        <v>7.1976303883204968</v>
      </c>
      <c r="Q267" s="4">
        <f t="shared" si="53"/>
        <v>-7.0226032206851965</v>
      </c>
      <c r="S267">
        <v>130</v>
      </c>
      <c r="T267">
        <v>180</v>
      </c>
      <c r="U267" s="6">
        <f t="shared" si="54"/>
        <v>-4.9815260979196037</v>
      </c>
      <c r="V267" s="7">
        <f t="shared" si="55"/>
        <v>-10.045113819345794</v>
      </c>
      <c r="W267" s="6">
        <f t="shared" si="56"/>
        <v>6.7948142104653346</v>
      </c>
      <c r="X267" s="6">
        <f t="shared" si="57"/>
        <v>7.8021514587857785</v>
      </c>
      <c r="Y267" s="5">
        <f t="shared" si="58"/>
        <v>7.2015008658050546</v>
      </c>
      <c r="Z267" s="5">
        <f t="shared" si="59"/>
        <v>-7.0258201591980791</v>
      </c>
    </row>
    <row r="268" spans="10:26" x14ac:dyDescent="0.25">
      <c r="J268">
        <v>140</v>
      </c>
      <c r="K268">
        <v>0</v>
      </c>
      <c r="L268">
        <f t="shared" si="48"/>
        <v>-6.0683842952213585</v>
      </c>
      <c r="M268" s="2">
        <f t="shared" si="49"/>
        <v>-6.3827245744473728</v>
      </c>
      <c r="N268">
        <f t="shared" si="50"/>
        <v>5.6987126679750162</v>
      </c>
      <c r="O268">
        <f t="shared" si="51"/>
        <v>11.460637459407346</v>
      </c>
      <c r="P268" s="4">
        <f t="shared" si="52"/>
        <v>8.0249424640573661</v>
      </c>
      <c r="Q268" s="4">
        <f t="shared" si="53"/>
        <v>-6.1952911449483272</v>
      </c>
      <c r="S268">
        <v>140</v>
      </c>
      <c r="T268">
        <v>0</v>
      </c>
      <c r="U268" s="6">
        <f t="shared" si="54"/>
        <v>-6.074814210465334</v>
      </c>
      <c r="V268" s="7">
        <f t="shared" si="55"/>
        <v>-6.3921514587857757</v>
      </c>
      <c r="W268" s="6">
        <f t="shared" si="56"/>
        <v>5.7015260979196043</v>
      </c>
      <c r="X268" s="6">
        <f t="shared" si="57"/>
        <v>11.455113819345796</v>
      </c>
      <c r="Y268" s="5">
        <f t="shared" si="58"/>
        <v>8.0243900151745962</v>
      </c>
      <c r="Z268" s="5">
        <f t="shared" si="59"/>
        <v>-6.2029310098285357</v>
      </c>
    </row>
    <row r="269" spans="10:26" x14ac:dyDescent="0.25">
      <c r="J269">
        <v>140</v>
      </c>
      <c r="K269">
        <v>10</v>
      </c>
      <c r="L269">
        <f t="shared" si="48"/>
        <v>-6.0683842952213585</v>
      </c>
      <c r="M269" s="2">
        <f t="shared" si="49"/>
        <v>-6.9206355712071659</v>
      </c>
      <c r="N269">
        <f t="shared" si="50"/>
        <v>5.6987126679750162</v>
      </c>
      <c r="O269">
        <f t="shared" si="51"/>
        <v>11.837286794224452</v>
      </c>
      <c r="P269" s="4">
        <f t="shared" si="52"/>
        <v>8.177005001671354</v>
      </c>
      <c r="Q269" s="4">
        <f t="shared" si="53"/>
        <v>-6.4124589549418927</v>
      </c>
      <c r="S269">
        <v>140</v>
      </c>
      <c r="T269">
        <v>10</v>
      </c>
      <c r="U269" s="6">
        <f t="shared" si="54"/>
        <v>-6.074814210465334</v>
      </c>
      <c r="V269" s="7">
        <f t="shared" si="55"/>
        <v>-6.9290328712071645</v>
      </c>
      <c r="W269" s="6">
        <f t="shared" si="56"/>
        <v>5.7015260979196043</v>
      </c>
      <c r="X269" s="6">
        <f t="shared" si="57"/>
        <v>11.831042231447928</v>
      </c>
      <c r="Y269" s="5">
        <f t="shared" si="58"/>
        <v>8.176161498677164</v>
      </c>
      <c r="Z269" s="5">
        <f t="shared" si="59"/>
        <v>-6.4196831514730217</v>
      </c>
    </row>
    <row r="270" spans="10:26" x14ac:dyDescent="0.25">
      <c r="J270">
        <v>140</v>
      </c>
      <c r="K270">
        <v>20</v>
      </c>
      <c r="L270">
        <f t="shared" si="48"/>
        <v>-6.0683842952213585</v>
      </c>
      <c r="M270" s="2">
        <f t="shared" si="49"/>
        <v>-7.5157789618571869</v>
      </c>
      <c r="N270">
        <f t="shared" si="50"/>
        <v>5.6987126679750162</v>
      </c>
      <c r="O270">
        <f t="shared" si="51"/>
        <v>12.114806714984891</v>
      </c>
      <c r="P270" s="4">
        <f t="shared" si="52"/>
        <v>8.2890465732030201</v>
      </c>
      <c r="Q270" s="4">
        <f t="shared" si="53"/>
        <v>-6.6527328804763144</v>
      </c>
      <c r="S270">
        <v>140</v>
      </c>
      <c r="T270">
        <v>20</v>
      </c>
      <c r="U270" s="6">
        <f t="shared" si="54"/>
        <v>-6.074814210465334</v>
      </c>
      <c r="V270" s="7">
        <f t="shared" si="55"/>
        <v>-7.5230371323026501</v>
      </c>
      <c r="W270" s="6">
        <f t="shared" si="56"/>
        <v>5.7015260979196043</v>
      </c>
      <c r="X270" s="6">
        <f t="shared" si="57"/>
        <v>12.108030967373454</v>
      </c>
      <c r="Y270" s="5">
        <f t="shared" si="58"/>
        <v>8.2879886179146869</v>
      </c>
      <c r="Z270" s="5">
        <f t="shared" si="59"/>
        <v>-6.6594971825785381</v>
      </c>
    </row>
    <row r="271" spans="10:26" x14ac:dyDescent="0.25">
      <c r="J271">
        <v>140</v>
      </c>
      <c r="K271">
        <v>30</v>
      </c>
      <c r="L271">
        <f t="shared" si="48"/>
        <v>-6.0683842952213585</v>
      </c>
      <c r="M271" s="2">
        <f t="shared" si="49"/>
        <v>-8.1500716156296225</v>
      </c>
      <c r="N271">
        <f t="shared" si="50"/>
        <v>5.6987126679750162</v>
      </c>
      <c r="O271">
        <f t="shared" si="51"/>
        <v>12.284764919328207</v>
      </c>
      <c r="P271" s="4">
        <f t="shared" si="52"/>
        <v>8.3576628521971426</v>
      </c>
      <c r="Q271" s="4">
        <f t="shared" si="53"/>
        <v>-6.9088123199087059</v>
      </c>
      <c r="S271">
        <v>140</v>
      </c>
      <c r="T271">
        <v>30</v>
      </c>
      <c r="U271" s="6">
        <f t="shared" si="54"/>
        <v>-6.074814210465334</v>
      </c>
      <c r="V271" s="7">
        <f t="shared" si="55"/>
        <v>-8.1561157231795072</v>
      </c>
      <c r="W271" s="6">
        <f t="shared" si="56"/>
        <v>5.7015260979196043</v>
      </c>
      <c r="X271" s="6">
        <f t="shared" si="57"/>
        <v>12.277663864544341</v>
      </c>
      <c r="Y271" s="5">
        <f t="shared" si="58"/>
        <v>8.3564735624563866</v>
      </c>
      <c r="Z271" s="5">
        <f t="shared" si="59"/>
        <v>-6.9150864751616998</v>
      </c>
    </row>
    <row r="272" spans="10:26" x14ac:dyDescent="0.25">
      <c r="J272">
        <v>140</v>
      </c>
      <c r="K272">
        <v>40</v>
      </c>
      <c r="L272">
        <f t="shared" si="48"/>
        <v>-6.0683842952213585</v>
      </c>
      <c r="M272" s="2">
        <f t="shared" si="49"/>
        <v>-8.8042408712071651</v>
      </c>
      <c r="N272">
        <f t="shared" si="50"/>
        <v>5.6987126679750162</v>
      </c>
      <c r="O272">
        <f t="shared" si="51"/>
        <v>12.341997313218435</v>
      </c>
      <c r="P272" s="4">
        <f t="shared" si="52"/>
        <v>8.3807689677380015</v>
      </c>
      <c r="Q272" s="4">
        <f t="shared" si="53"/>
        <v>-7.172916429054359</v>
      </c>
      <c r="S272">
        <v>140</v>
      </c>
      <c r="T272">
        <v>40</v>
      </c>
      <c r="U272" s="6">
        <f t="shared" si="54"/>
        <v>-6.074814210465334</v>
      </c>
      <c r="V272" s="7">
        <f t="shared" si="55"/>
        <v>-8.8090328712071653</v>
      </c>
      <c r="W272" s="6">
        <f t="shared" si="56"/>
        <v>5.7015260979196043</v>
      </c>
      <c r="X272" s="6">
        <f t="shared" si="57"/>
        <v>12.334786713218438</v>
      </c>
      <c r="Y272" s="5">
        <f t="shared" si="58"/>
        <v>8.3795354519174197</v>
      </c>
      <c r="Z272" s="5">
        <f t="shared" si="59"/>
        <v>-7.1786850779017897</v>
      </c>
    </row>
    <row r="273" spans="10:26" x14ac:dyDescent="0.25">
      <c r="J273">
        <v>140</v>
      </c>
      <c r="K273">
        <v>50</v>
      </c>
      <c r="L273">
        <f t="shared" si="48"/>
        <v>-6.0683842952213585</v>
      </c>
      <c r="M273" s="2">
        <f t="shared" si="49"/>
        <v>-9.4584101267847078</v>
      </c>
      <c r="N273">
        <f t="shared" si="50"/>
        <v>5.6987126679750162</v>
      </c>
      <c r="O273">
        <f t="shared" si="51"/>
        <v>12.284764919328207</v>
      </c>
      <c r="P273" s="4">
        <f t="shared" si="52"/>
        <v>8.3576628521971426</v>
      </c>
      <c r="Q273" s="4">
        <f t="shared" si="53"/>
        <v>-7.4370205382000121</v>
      </c>
      <c r="S273">
        <v>140</v>
      </c>
      <c r="T273">
        <v>50</v>
      </c>
      <c r="U273" s="6">
        <f t="shared" si="54"/>
        <v>-6.074814210465334</v>
      </c>
      <c r="V273" s="7">
        <f t="shared" si="55"/>
        <v>-9.4619500192348234</v>
      </c>
      <c r="W273" s="6">
        <f t="shared" si="56"/>
        <v>5.7015260979196043</v>
      </c>
      <c r="X273" s="6">
        <f t="shared" si="57"/>
        <v>12.277663864544341</v>
      </c>
      <c r="Y273" s="5">
        <f t="shared" si="58"/>
        <v>8.3564735624563866</v>
      </c>
      <c r="Z273" s="5">
        <f t="shared" si="59"/>
        <v>-7.4422836806418795</v>
      </c>
    </row>
    <row r="274" spans="10:26" x14ac:dyDescent="0.25">
      <c r="J274">
        <v>140</v>
      </c>
      <c r="K274">
        <v>60</v>
      </c>
      <c r="L274">
        <f t="shared" si="48"/>
        <v>-6.0683842952213585</v>
      </c>
      <c r="M274" s="2">
        <f t="shared" si="49"/>
        <v>-10.092702780557143</v>
      </c>
      <c r="N274">
        <f t="shared" si="50"/>
        <v>5.6987126679750162</v>
      </c>
      <c r="O274">
        <f t="shared" si="51"/>
        <v>12.114806714984891</v>
      </c>
      <c r="P274" s="4">
        <f t="shared" si="52"/>
        <v>8.2890465732030201</v>
      </c>
      <c r="Q274" s="4">
        <f t="shared" si="53"/>
        <v>-7.6930999776324027</v>
      </c>
      <c r="S274">
        <v>140</v>
      </c>
      <c r="T274">
        <v>60</v>
      </c>
      <c r="U274" s="6">
        <f t="shared" si="54"/>
        <v>-6.074814210465334</v>
      </c>
      <c r="V274" s="7">
        <f t="shared" si="55"/>
        <v>-10.09502861011168</v>
      </c>
      <c r="W274" s="6">
        <f t="shared" si="56"/>
        <v>5.7015260979196043</v>
      </c>
      <c r="X274" s="6">
        <f t="shared" si="57"/>
        <v>12.108030967373454</v>
      </c>
      <c r="Y274" s="5">
        <f t="shared" si="58"/>
        <v>8.2879886179146869</v>
      </c>
      <c r="Z274" s="5">
        <f t="shared" si="59"/>
        <v>-7.6978729732250413</v>
      </c>
    </row>
    <row r="275" spans="10:26" x14ac:dyDescent="0.25">
      <c r="J275">
        <v>140</v>
      </c>
      <c r="K275">
        <v>70</v>
      </c>
      <c r="L275">
        <f t="shared" si="48"/>
        <v>-6.0683842952213585</v>
      </c>
      <c r="M275" s="2">
        <f t="shared" si="49"/>
        <v>-10.687846171207163</v>
      </c>
      <c r="N275">
        <f t="shared" si="50"/>
        <v>5.6987126679750162</v>
      </c>
      <c r="O275">
        <f t="shared" si="51"/>
        <v>11.837286794224454</v>
      </c>
      <c r="P275" s="4">
        <f t="shared" si="52"/>
        <v>8.177005001671354</v>
      </c>
      <c r="Q275" s="4">
        <f t="shared" si="53"/>
        <v>-7.9333739031668253</v>
      </c>
      <c r="S275">
        <v>140</v>
      </c>
      <c r="T275">
        <v>70</v>
      </c>
      <c r="U275" s="6">
        <f t="shared" si="54"/>
        <v>-6.074814210465334</v>
      </c>
      <c r="V275" s="7">
        <f t="shared" si="55"/>
        <v>-10.689032871207164</v>
      </c>
      <c r="W275" s="6">
        <f t="shared" si="56"/>
        <v>5.7015260979196043</v>
      </c>
      <c r="X275" s="6">
        <f t="shared" si="57"/>
        <v>11.831042231447928</v>
      </c>
      <c r="Y275" s="5">
        <f t="shared" si="58"/>
        <v>8.176161498677164</v>
      </c>
      <c r="Z275" s="5">
        <f t="shared" si="59"/>
        <v>-7.9376870043305576</v>
      </c>
    </row>
    <row r="276" spans="10:26" x14ac:dyDescent="0.25">
      <c r="J276">
        <v>140</v>
      </c>
      <c r="K276">
        <v>80</v>
      </c>
      <c r="L276">
        <f t="shared" si="48"/>
        <v>-6.0683842952213585</v>
      </c>
      <c r="M276" s="2">
        <f t="shared" si="49"/>
        <v>-11.225757167966957</v>
      </c>
      <c r="N276">
        <f t="shared" si="50"/>
        <v>5.6987126679750162</v>
      </c>
      <c r="O276">
        <f t="shared" si="51"/>
        <v>11.460637459407346</v>
      </c>
      <c r="P276" s="4">
        <f t="shared" si="52"/>
        <v>8.0249424640573661</v>
      </c>
      <c r="Q276" s="4">
        <f t="shared" si="53"/>
        <v>-8.1505417131603899</v>
      </c>
      <c r="S276">
        <v>140</v>
      </c>
      <c r="T276">
        <v>80</v>
      </c>
      <c r="U276" s="6">
        <f t="shared" si="54"/>
        <v>-6.074814210465334</v>
      </c>
      <c r="V276" s="7">
        <f t="shared" si="55"/>
        <v>-11.225914283628555</v>
      </c>
      <c r="W276" s="6">
        <f t="shared" si="56"/>
        <v>5.7015260979196043</v>
      </c>
      <c r="X276" s="6">
        <f t="shared" si="57"/>
        <v>11.455113819345796</v>
      </c>
      <c r="Y276" s="5">
        <f t="shared" si="58"/>
        <v>8.0243900151745962</v>
      </c>
      <c r="Z276" s="5">
        <f t="shared" si="59"/>
        <v>-8.1544391459750436</v>
      </c>
    </row>
    <row r="277" spans="10:26" x14ac:dyDescent="0.25">
      <c r="J277">
        <v>140</v>
      </c>
      <c r="K277">
        <v>90</v>
      </c>
      <c r="L277">
        <f t="shared" si="48"/>
        <v>-6.0683842952213585</v>
      </c>
      <c r="M277" s="2">
        <f t="shared" si="49"/>
        <v>-11.690091617396074</v>
      </c>
      <c r="N277">
        <f t="shared" si="50"/>
        <v>5.6987126679750162</v>
      </c>
      <c r="O277">
        <f t="shared" si="51"/>
        <v>10.996303009978231</v>
      </c>
      <c r="P277" s="4">
        <f t="shared" si="52"/>
        <v>7.8374793036190997</v>
      </c>
      <c r="Q277" s="4">
        <f t="shared" si="53"/>
        <v>-8.3380048735986563</v>
      </c>
      <c r="S277">
        <v>140</v>
      </c>
      <c r="T277">
        <v>90</v>
      </c>
      <c r="U277" s="6">
        <f t="shared" si="54"/>
        <v>-6.074814210465334</v>
      </c>
      <c r="V277" s="7">
        <f t="shared" si="55"/>
        <v>-11.689359977334524</v>
      </c>
      <c r="W277" s="6">
        <f t="shared" si="56"/>
        <v>5.7015260979196043</v>
      </c>
      <c r="X277" s="6">
        <f t="shared" si="57"/>
        <v>10.991668125639826</v>
      </c>
      <c r="Y277" s="5">
        <f t="shared" si="58"/>
        <v>7.8372856671331359</v>
      </c>
      <c r="Z277" s="5">
        <f t="shared" si="59"/>
        <v>-8.3415434940165039</v>
      </c>
    </row>
    <row r="278" spans="10:26" x14ac:dyDescent="0.25">
      <c r="J278">
        <v>140</v>
      </c>
      <c r="K278">
        <v>100</v>
      </c>
      <c r="L278">
        <f t="shared" si="48"/>
        <v>-6.0683842952213585</v>
      </c>
      <c r="M278" s="2">
        <f t="shared" si="49"/>
        <v>-12.066740952213181</v>
      </c>
      <c r="N278">
        <f t="shared" si="50"/>
        <v>5.6987126679750162</v>
      </c>
      <c r="O278">
        <f t="shared" si="51"/>
        <v>10.458392013218436</v>
      </c>
      <c r="P278" s="4">
        <f t="shared" si="52"/>
        <v>7.6203114936255343</v>
      </c>
      <c r="Q278" s="4">
        <f t="shared" si="53"/>
        <v>-8.4900674112126442</v>
      </c>
      <c r="S278">
        <v>140</v>
      </c>
      <c r="T278">
        <v>100</v>
      </c>
      <c r="U278" s="6">
        <f t="shared" si="54"/>
        <v>-6.074814210465334</v>
      </c>
      <c r="V278" s="7">
        <f t="shared" si="55"/>
        <v>-12.065288389436656</v>
      </c>
      <c r="W278" s="6">
        <f t="shared" si="56"/>
        <v>5.7015260979196043</v>
      </c>
      <c r="X278" s="6">
        <f t="shared" si="57"/>
        <v>10.454786713218438</v>
      </c>
      <c r="Y278" s="5">
        <f t="shared" si="58"/>
        <v>7.6205335254886499</v>
      </c>
      <c r="Z278" s="5">
        <f t="shared" si="59"/>
        <v>-8.4933149775190717</v>
      </c>
    </row>
    <row r="279" spans="10:26" x14ac:dyDescent="0.25">
      <c r="J279">
        <v>140</v>
      </c>
      <c r="K279">
        <v>110</v>
      </c>
      <c r="L279">
        <f t="shared" si="48"/>
        <v>-6.0683842952213585</v>
      </c>
      <c r="M279" s="2">
        <f t="shared" si="49"/>
        <v>-12.344260872973617</v>
      </c>
      <c r="N279">
        <f t="shared" si="50"/>
        <v>5.6987126679750162</v>
      </c>
      <c r="O279">
        <f t="shared" si="51"/>
        <v>9.8632486225684151</v>
      </c>
      <c r="P279" s="4">
        <f t="shared" si="52"/>
        <v>7.3800375680911117</v>
      </c>
      <c r="Q279" s="4">
        <f t="shared" si="53"/>
        <v>-8.6021089827443102</v>
      </c>
      <c r="S279">
        <v>140</v>
      </c>
      <c r="T279">
        <v>110</v>
      </c>
      <c r="U279" s="6">
        <f t="shared" si="54"/>
        <v>-6.074814210465334</v>
      </c>
      <c r="V279" s="7">
        <f t="shared" si="55"/>
        <v>-12.342277125362182</v>
      </c>
      <c r="W279" s="6">
        <f t="shared" si="56"/>
        <v>5.7015260979196043</v>
      </c>
      <c r="X279" s="6">
        <f t="shared" si="57"/>
        <v>9.8607824521229528</v>
      </c>
      <c r="Y279" s="5">
        <f t="shared" si="58"/>
        <v>7.3807194943831336</v>
      </c>
      <c r="Z279" s="5">
        <f t="shared" si="59"/>
        <v>-8.6051420967565946</v>
      </c>
    </row>
    <row r="280" spans="10:26" x14ac:dyDescent="0.25">
      <c r="J280">
        <v>140</v>
      </c>
      <c r="K280">
        <v>120</v>
      </c>
      <c r="L280">
        <f t="shared" si="48"/>
        <v>-6.0683842952213585</v>
      </c>
      <c r="M280" s="2">
        <f t="shared" si="49"/>
        <v>-12.514219077316936</v>
      </c>
      <c r="N280">
        <f t="shared" si="50"/>
        <v>5.6987126679750162</v>
      </c>
      <c r="O280">
        <f t="shared" si="51"/>
        <v>9.2289559687959795</v>
      </c>
      <c r="P280" s="4">
        <f t="shared" si="52"/>
        <v>7.123958128658721</v>
      </c>
      <c r="Q280" s="4">
        <f t="shared" si="53"/>
        <v>-8.6707252617384345</v>
      </c>
      <c r="S280">
        <v>140</v>
      </c>
      <c r="T280">
        <v>120</v>
      </c>
      <c r="U280" s="6">
        <f t="shared" si="54"/>
        <v>-6.074814210465334</v>
      </c>
      <c r="V280" s="7">
        <f t="shared" si="55"/>
        <v>-12.511910022533069</v>
      </c>
      <c r="W280" s="6">
        <f t="shared" si="56"/>
        <v>5.7015260979196043</v>
      </c>
      <c r="X280" s="6">
        <f t="shared" si="57"/>
        <v>9.2277038612460949</v>
      </c>
      <c r="Y280" s="5">
        <f t="shared" si="58"/>
        <v>7.1251302017999718</v>
      </c>
      <c r="Z280" s="5">
        <f t="shared" si="59"/>
        <v>-8.6736270412982943</v>
      </c>
    </row>
    <row r="281" spans="10:26" x14ac:dyDescent="0.25">
      <c r="J281">
        <v>140</v>
      </c>
      <c r="K281">
        <v>130</v>
      </c>
      <c r="L281">
        <f t="shared" si="48"/>
        <v>-6.0683842952213585</v>
      </c>
      <c r="M281" s="2">
        <f t="shared" si="49"/>
        <v>-12.571451471207164</v>
      </c>
      <c r="N281">
        <f t="shared" si="50"/>
        <v>5.6987126679750162</v>
      </c>
      <c r="O281">
        <f t="shared" si="51"/>
        <v>8.5747867132184368</v>
      </c>
      <c r="P281" s="4">
        <f t="shared" si="52"/>
        <v>6.8598540195130671</v>
      </c>
      <c r="Q281" s="4">
        <f t="shared" si="53"/>
        <v>-8.6938313772792917</v>
      </c>
      <c r="S281">
        <v>140</v>
      </c>
      <c r="T281">
        <v>130</v>
      </c>
      <c r="U281" s="6">
        <f t="shared" si="54"/>
        <v>-6.074814210465334</v>
      </c>
      <c r="V281" s="7">
        <f t="shared" si="55"/>
        <v>-12.569032871207167</v>
      </c>
      <c r="W281" s="6">
        <f t="shared" si="56"/>
        <v>5.7015260979196043</v>
      </c>
      <c r="X281" s="6">
        <f t="shared" si="57"/>
        <v>8.5747867132184368</v>
      </c>
      <c r="Y281" s="5">
        <f t="shared" si="58"/>
        <v>6.8615315990598811</v>
      </c>
      <c r="Z281" s="5">
        <f t="shared" si="59"/>
        <v>-8.6966889307593256</v>
      </c>
    </row>
    <row r="282" spans="10:26" x14ac:dyDescent="0.25">
      <c r="J282">
        <v>140</v>
      </c>
      <c r="K282">
        <v>140</v>
      </c>
      <c r="L282">
        <f t="shared" si="48"/>
        <v>-6.0683842952213585</v>
      </c>
      <c r="M282" s="2">
        <f t="shared" si="49"/>
        <v>-12.514219077316936</v>
      </c>
      <c r="N282">
        <f t="shared" si="50"/>
        <v>5.6987126679750162</v>
      </c>
      <c r="O282">
        <f t="shared" si="51"/>
        <v>7.9206174576408932</v>
      </c>
      <c r="P282" s="4">
        <f t="shared" si="52"/>
        <v>6.5957499103674149</v>
      </c>
      <c r="Q282" s="4">
        <f t="shared" si="53"/>
        <v>-8.6707252617384345</v>
      </c>
      <c r="S282">
        <v>140</v>
      </c>
      <c r="T282">
        <v>140</v>
      </c>
      <c r="U282" s="6">
        <f t="shared" si="54"/>
        <v>-6.074814210465334</v>
      </c>
      <c r="V282" s="7">
        <f t="shared" si="55"/>
        <v>-12.511910022533069</v>
      </c>
      <c r="W282" s="6">
        <f t="shared" si="56"/>
        <v>5.7015260979196043</v>
      </c>
      <c r="X282" s="6">
        <f t="shared" si="57"/>
        <v>7.9218695651907778</v>
      </c>
      <c r="Y282" s="5">
        <f t="shared" si="58"/>
        <v>6.5979329963197912</v>
      </c>
      <c r="Z282" s="5">
        <f t="shared" si="59"/>
        <v>-8.6736270412982943</v>
      </c>
    </row>
    <row r="283" spans="10:26" x14ac:dyDescent="0.25">
      <c r="J283">
        <v>140</v>
      </c>
      <c r="K283">
        <v>150</v>
      </c>
      <c r="L283">
        <f t="shared" si="48"/>
        <v>-6.0683842952213585</v>
      </c>
      <c r="M283" s="2">
        <f t="shared" si="49"/>
        <v>-12.344260872973619</v>
      </c>
      <c r="N283">
        <f t="shared" si="50"/>
        <v>5.6987126679750162</v>
      </c>
      <c r="O283">
        <f t="shared" si="51"/>
        <v>7.2863248038684594</v>
      </c>
      <c r="P283" s="4">
        <f t="shared" si="52"/>
        <v>6.3396704709350242</v>
      </c>
      <c r="Q283" s="4">
        <f t="shared" si="53"/>
        <v>-8.6021089827443102</v>
      </c>
      <c r="S283">
        <v>140</v>
      </c>
      <c r="T283">
        <v>150</v>
      </c>
      <c r="U283" s="6">
        <f t="shared" si="54"/>
        <v>-6.074814210465334</v>
      </c>
      <c r="V283" s="7">
        <f t="shared" si="55"/>
        <v>-12.342277125362182</v>
      </c>
      <c r="W283" s="6">
        <f t="shared" si="56"/>
        <v>5.7015260979196043</v>
      </c>
      <c r="X283" s="6">
        <f t="shared" si="57"/>
        <v>7.2887909743139225</v>
      </c>
      <c r="Y283" s="5">
        <f t="shared" si="58"/>
        <v>6.3423437037366304</v>
      </c>
      <c r="Z283" s="5">
        <f t="shared" si="59"/>
        <v>-8.6051420967565946</v>
      </c>
    </row>
    <row r="284" spans="10:26" x14ac:dyDescent="0.25">
      <c r="J284">
        <v>140</v>
      </c>
      <c r="K284">
        <v>160</v>
      </c>
      <c r="L284">
        <f t="shared" si="48"/>
        <v>-6.0683842952213585</v>
      </c>
      <c r="M284" s="2">
        <f t="shared" si="49"/>
        <v>-12.066740952213181</v>
      </c>
      <c r="N284">
        <f t="shared" si="50"/>
        <v>5.6987126679750162</v>
      </c>
      <c r="O284">
        <f t="shared" si="51"/>
        <v>6.6911814132184375</v>
      </c>
      <c r="P284" s="4">
        <f t="shared" si="52"/>
        <v>6.0993965454006016</v>
      </c>
      <c r="Q284" s="4">
        <f t="shared" si="53"/>
        <v>-8.4900674112126442</v>
      </c>
      <c r="S284">
        <v>140</v>
      </c>
      <c r="T284">
        <v>160</v>
      </c>
      <c r="U284" s="6">
        <f t="shared" si="54"/>
        <v>-6.074814210465334</v>
      </c>
      <c r="V284" s="7">
        <f t="shared" si="55"/>
        <v>-12.065288389436656</v>
      </c>
      <c r="W284" s="6">
        <f t="shared" si="56"/>
        <v>5.7015260979196043</v>
      </c>
      <c r="X284" s="6">
        <f t="shared" si="57"/>
        <v>6.694786713218436</v>
      </c>
      <c r="Y284" s="5">
        <f t="shared" si="58"/>
        <v>6.1025296726311131</v>
      </c>
      <c r="Z284" s="5">
        <f t="shared" si="59"/>
        <v>-8.4933149775190717</v>
      </c>
    </row>
    <row r="285" spans="10:26" x14ac:dyDescent="0.25">
      <c r="J285">
        <v>140</v>
      </c>
      <c r="K285">
        <v>170</v>
      </c>
      <c r="L285">
        <f t="shared" si="48"/>
        <v>-6.0683842952213585</v>
      </c>
      <c r="M285" s="2">
        <f t="shared" si="49"/>
        <v>-11.690091617396074</v>
      </c>
      <c r="N285">
        <f t="shared" si="50"/>
        <v>5.6987126679750162</v>
      </c>
      <c r="O285">
        <f t="shared" si="51"/>
        <v>6.1532704164586445</v>
      </c>
      <c r="P285" s="4">
        <f t="shared" si="52"/>
        <v>5.8822287354070362</v>
      </c>
      <c r="Q285" s="4">
        <f t="shared" si="53"/>
        <v>-8.3380048735986563</v>
      </c>
      <c r="S285">
        <v>140</v>
      </c>
      <c r="T285">
        <v>170</v>
      </c>
      <c r="U285" s="6">
        <f t="shared" si="54"/>
        <v>-6.074814210465334</v>
      </c>
      <c r="V285" s="7">
        <f t="shared" si="55"/>
        <v>-11.689359977334524</v>
      </c>
      <c r="W285" s="6">
        <f t="shared" si="56"/>
        <v>5.7015260979196043</v>
      </c>
      <c r="X285" s="6">
        <f t="shared" si="57"/>
        <v>6.1579053007970481</v>
      </c>
      <c r="Y285" s="5">
        <f t="shared" si="58"/>
        <v>5.8857775309866289</v>
      </c>
      <c r="Z285" s="5">
        <f t="shared" si="59"/>
        <v>-8.3415434940165039</v>
      </c>
    </row>
    <row r="286" spans="10:26" x14ac:dyDescent="0.25">
      <c r="J286">
        <v>140</v>
      </c>
      <c r="K286">
        <v>180</v>
      </c>
      <c r="L286">
        <f t="shared" si="48"/>
        <v>-6.0683842952213585</v>
      </c>
      <c r="M286" s="2">
        <f t="shared" si="49"/>
        <v>-11.225757167966957</v>
      </c>
      <c r="N286">
        <f t="shared" si="50"/>
        <v>5.6987126679750162</v>
      </c>
      <c r="O286">
        <f t="shared" si="51"/>
        <v>5.6889359670295274</v>
      </c>
      <c r="P286" s="4">
        <f t="shared" si="52"/>
        <v>5.6947655749687698</v>
      </c>
      <c r="Q286" s="4">
        <f t="shared" si="53"/>
        <v>-8.1505417131603899</v>
      </c>
      <c r="S286">
        <v>140</v>
      </c>
      <c r="T286">
        <v>180</v>
      </c>
      <c r="U286" s="6">
        <f t="shared" si="54"/>
        <v>-6.074814210465334</v>
      </c>
      <c r="V286" s="7">
        <f t="shared" si="55"/>
        <v>-11.225914283628555</v>
      </c>
      <c r="W286" s="6">
        <f t="shared" si="56"/>
        <v>5.7015260979196043</v>
      </c>
      <c r="X286" s="6">
        <f t="shared" si="57"/>
        <v>5.694459607091078</v>
      </c>
      <c r="Y286" s="5">
        <f t="shared" si="58"/>
        <v>5.6986731829451678</v>
      </c>
      <c r="Z286" s="5">
        <f t="shared" si="59"/>
        <v>-8.1544391459750436</v>
      </c>
    </row>
    <row r="287" spans="10:26" x14ac:dyDescent="0.25">
      <c r="J287">
        <v>150</v>
      </c>
      <c r="K287">
        <v>0</v>
      </c>
      <c r="L287">
        <f t="shared" si="48"/>
        <v>-6.9547778076576394</v>
      </c>
      <c r="M287" s="2">
        <f t="shared" si="49"/>
        <v>-8.2543815864844134</v>
      </c>
      <c r="N287">
        <f t="shared" si="50"/>
        <v>4.4328115399999994</v>
      </c>
      <c r="O287">
        <f t="shared" si="51"/>
        <v>9.9325000810060153</v>
      </c>
      <c r="P287" s="4">
        <f t="shared" si="52"/>
        <v>6.6531701556286098</v>
      </c>
      <c r="Q287" s="4">
        <f t="shared" si="53"/>
        <v>-7.4794596011276546</v>
      </c>
      <c r="S287">
        <v>150</v>
      </c>
      <c r="T287">
        <v>0</v>
      </c>
      <c r="U287" s="6">
        <f t="shared" si="54"/>
        <v>-6.9616453315679712</v>
      </c>
      <c r="V287" s="7">
        <f t="shared" si="55"/>
        <v>-8.2627788864844121</v>
      </c>
      <c r="W287" s="6">
        <f t="shared" si="56"/>
        <v>4.4349999999999987</v>
      </c>
      <c r="X287" s="6">
        <f t="shared" si="57"/>
        <v>9.9262555182294889</v>
      </c>
      <c r="Y287" s="5">
        <f t="shared" si="58"/>
        <v>6.6519539983238207</v>
      </c>
      <c r="Z287" s="5">
        <f t="shared" si="59"/>
        <v>-7.4869447330162116</v>
      </c>
    </row>
    <row r="288" spans="10:26" x14ac:dyDescent="0.25">
      <c r="J288">
        <v>150</v>
      </c>
      <c r="K288">
        <v>10</v>
      </c>
      <c r="L288">
        <f t="shared" si="48"/>
        <v>-6.9547778076576394</v>
      </c>
      <c r="M288" s="2">
        <f t="shared" si="49"/>
        <v>-8.8495249771344344</v>
      </c>
      <c r="N288">
        <f t="shared" si="50"/>
        <v>4.4328115399999994</v>
      </c>
      <c r="O288">
        <f t="shared" si="51"/>
        <v>10.210020001766452</v>
      </c>
      <c r="P288" s="4">
        <f t="shared" si="52"/>
        <v>6.7652117271602741</v>
      </c>
      <c r="Q288" s="4">
        <f t="shared" si="53"/>
        <v>-7.7197335266620781</v>
      </c>
      <c r="S288">
        <v>150</v>
      </c>
      <c r="T288">
        <v>10</v>
      </c>
      <c r="U288" s="6">
        <f t="shared" si="54"/>
        <v>-6.9616453315679712</v>
      </c>
      <c r="V288" s="7">
        <f t="shared" si="55"/>
        <v>-8.8567831475798968</v>
      </c>
      <c r="W288" s="6">
        <f t="shared" si="56"/>
        <v>4.4349999999999987</v>
      </c>
      <c r="X288" s="6">
        <f t="shared" si="57"/>
        <v>10.203244254155017</v>
      </c>
      <c r="Y288" s="5">
        <f t="shared" si="58"/>
        <v>6.7637811175613445</v>
      </c>
      <c r="Z288" s="5">
        <f t="shared" si="59"/>
        <v>-7.726758764121727</v>
      </c>
    </row>
    <row r="289" spans="10:26" x14ac:dyDescent="0.25">
      <c r="J289">
        <v>150</v>
      </c>
      <c r="K289">
        <v>20</v>
      </c>
      <c r="L289">
        <f t="shared" si="48"/>
        <v>-6.9547778076576394</v>
      </c>
      <c r="M289" s="2">
        <f t="shared" si="49"/>
        <v>-9.48381763090687</v>
      </c>
      <c r="N289">
        <f t="shared" si="50"/>
        <v>4.4328115399999994</v>
      </c>
      <c r="O289">
        <f t="shared" si="51"/>
        <v>10.379978206109769</v>
      </c>
      <c r="P289" s="4">
        <f t="shared" si="52"/>
        <v>6.8338280061543974</v>
      </c>
      <c r="Q289" s="4">
        <f t="shared" si="53"/>
        <v>-7.9758129660944688</v>
      </c>
      <c r="S289">
        <v>150</v>
      </c>
      <c r="T289">
        <v>20</v>
      </c>
      <c r="U289" s="6">
        <f t="shared" si="54"/>
        <v>-6.9616453315679712</v>
      </c>
      <c r="V289" s="7">
        <f t="shared" si="55"/>
        <v>-9.4898617384567547</v>
      </c>
      <c r="W289" s="6">
        <f t="shared" si="56"/>
        <v>4.4349999999999987</v>
      </c>
      <c r="X289" s="6">
        <f t="shared" si="57"/>
        <v>10.372877151325902</v>
      </c>
      <c r="Y289" s="5">
        <f t="shared" si="58"/>
        <v>6.8322660621030451</v>
      </c>
      <c r="Z289" s="5">
        <f t="shared" si="59"/>
        <v>-7.9823480567048888</v>
      </c>
    </row>
    <row r="290" spans="10:26" x14ac:dyDescent="0.25">
      <c r="J290">
        <v>150</v>
      </c>
      <c r="K290">
        <v>30</v>
      </c>
      <c r="L290">
        <f t="shared" si="48"/>
        <v>-6.9547778076576394</v>
      </c>
      <c r="M290" s="2">
        <f t="shared" si="49"/>
        <v>-10.137986886484413</v>
      </c>
      <c r="N290">
        <f t="shared" si="50"/>
        <v>4.4328115399999994</v>
      </c>
      <c r="O290">
        <f t="shared" si="51"/>
        <v>10.437210599999997</v>
      </c>
      <c r="P290" s="4">
        <f t="shared" si="52"/>
        <v>6.8569341216952564</v>
      </c>
      <c r="Q290" s="4">
        <f t="shared" si="53"/>
        <v>-8.2399170752401218</v>
      </c>
      <c r="S290">
        <v>150</v>
      </c>
      <c r="T290">
        <v>30</v>
      </c>
      <c r="U290" s="6">
        <f t="shared" si="54"/>
        <v>-6.9616453315679712</v>
      </c>
      <c r="V290" s="7">
        <f t="shared" si="55"/>
        <v>-10.142778886484413</v>
      </c>
      <c r="W290" s="6">
        <f t="shared" si="56"/>
        <v>4.4349999999999987</v>
      </c>
      <c r="X290" s="6">
        <f t="shared" si="57"/>
        <v>10.43</v>
      </c>
      <c r="Y290" s="5">
        <f t="shared" si="58"/>
        <v>6.8553279515640764</v>
      </c>
      <c r="Z290" s="5">
        <f t="shared" si="59"/>
        <v>-8.2459466594449786</v>
      </c>
    </row>
    <row r="291" spans="10:26" x14ac:dyDescent="0.25">
      <c r="J291">
        <v>150</v>
      </c>
      <c r="K291">
        <v>40</v>
      </c>
      <c r="L291">
        <f t="shared" si="48"/>
        <v>-6.9547778076576394</v>
      </c>
      <c r="M291" s="2">
        <f t="shared" si="49"/>
        <v>-10.792156142061955</v>
      </c>
      <c r="N291">
        <f t="shared" si="50"/>
        <v>4.4328115399999994</v>
      </c>
      <c r="O291">
        <f t="shared" si="51"/>
        <v>10.379978206109769</v>
      </c>
      <c r="P291" s="4">
        <f t="shared" si="52"/>
        <v>6.8338280061543974</v>
      </c>
      <c r="Q291" s="4">
        <f t="shared" si="53"/>
        <v>-8.504021184385774</v>
      </c>
      <c r="S291">
        <v>150</v>
      </c>
      <c r="T291">
        <v>40</v>
      </c>
      <c r="U291" s="6">
        <f t="shared" si="54"/>
        <v>-6.9616453315679712</v>
      </c>
      <c r="V291" s="7">
        <f t="shared" si="55"/>
        <v>-10.795696034512071</v>
      </c>
      <c r="W291" s="6">
        <f t="shared" si="56"/>
        <v>4.4349999999999987</v>
      </c>
      <c r="X291" s="6">
        <f t="shared" si="57"/>
        <v>10.372877151325902</v>
      </c>
      <c r="Y291" s="5">
        <f t="shared" si="58"/>
        <v>6.8322660621030451</v>
      </c>
      <c r="Z291" s="5">
        <f t="shared" si="59"/>
        <v>-8.5095452621850693</v>
      </c>
    </row>
    <row r="292" spans="10:26" x14ac:dyDescent="0.25">
      <c r="J292">
        <v>150</v>
      </c>
      <c r="K292">
        <v>50</v>
      </c>
      <c r="L292">
        <f t="shared" si="48"/>
        <v>-6.9547778076576394</v>
      </c>
      <c r="M292" s="2">
        <f t="shared" si="49"/>
        <v>-11.426448795834391</v>
      </c>
      <c r="N292">
        <f t="shared" si="50"/>
        <v>4.4328115399999994</v>
      </c>
      <c r="O292">
        <f t="shared" si="51"/>
        <v>10.210020001766452</v>
      </c>
      <c r="P292" s="4">
        <f t="shared" si="52"/>
        <v>6.7652117271602741</v>
      </c>
      <c r="Q292" s="4">
        <f t="shared" si="53"/>
        <v>-8.7601006238181647</v>
      </c>
      <c r="S292">
        <v>150</v>
      </c>
      <c r="T292">
        <v>50</v>
      </c>
      <c r="U292" s="6">
        <f t="shared" si="54"/>
        <v>-6.9616453315679712</v>
      </c>
      <c r="V292" s="7">
        <f t="shared" si="55"/>
        <v>-11.428774625388927</v>
      </c>
      <c r="W292" s="6">
        <f t="shared" si="56"/>
        <v>4.4349999999999987</v>
      </c>
      <c r="X292" s="6">
        <f t="shared" si="57"/>
        <v>10.203244254155017</v>
      </c>
      <c r="Y292" s="5">
        <f t="shared" si="58"/>
        <v>6.7637811175613445</v>
      </c>
      <c r="Z292" s="5">
        <f t="shared" si="59"/>
        <v>-8.7651345547682311</v>
      </c>
    </row>
    <row r="293" spans="10:26" x14ac:dyDescent="0.25">
      <c r="J293">
        <v>150</v>
      </c>
      <c r="K293">
        <v>60</v>
      </c>
      <c r="L293">
        <f t="shared" si="48"/>
        <v>-6.9547778076576394</v>
      </c>
      <c r="M293" s="2">
        <f t="shared" si="49"/>
        <v>-12.021592186484412</v>
      </c>
      <c r="N293">
        <f t="shared" si="50"/>
        <v>4.4328115399999994</v>
      </c>
      <c r="O293">
        <f t="shared" si="51"/>
        <v>9.9325000810060153</v>
      </c>
      <c r="P293" s="4">
        <f t="shared" si="52"/>
        <v>6.6531701556286098</v>
      </c>
      <c r="Q293" s="4">
        <f t="shared" si="53"/>
        <v>-9.0003745493525873</v>
      </c>
      <c r="S293">
        <v>150</v>
      </c>
      <c r="T293">
        <v>60</v>
      </c>
      <c r="U293" s="6">
        <f t="shared" si="54"/>
        <v>-6.9616453315679712</v>
      </c>
      <c r="V293" s="7">
        <f t="shared" si="55"/>
        <v>-12.022778886484414</v>
      </c>
      <c r="W293" s="6">
        <f t="shared" si="56"/>
        <v>4.4349999999999987</v>
      </c>
      <c r="X293" s="6">
        <f t="shared" si="57"/>
        <v>9.9262555182294889</v>
      </c>
      <c r="Y293" s="5">
        <f t="shared" si="58"/>
        <v>6.6519539983238207</v>
      </c>
      <c r="Z293" s="5">
        <f t="shared" si="59"/>
        <v>-9.0049485858737466</v>
      </c>
    </row>
    <row r="294" spans="10:26" x14ac:dyDescent="0.25">
      <c r="J294">
        <v>150</v>
      </c>
      <c r="K294">
        <v>70</v>
      </c>
      <c r="L294">
        <f t="shared" si="48"/>
        <v>-6.9547778076576394</v>
      </c>
      <c r="M294" s="2">
        <f t="shared" si="49"/>
        <v>-12.559503183244205</v>
      </c>
      <c r="N294">
        <f t="shared" si="50"/>
        <v>4.4328115399999994</v>
      </c>
      <c r="O294">
        <f t="shared" si="51"/>
        <v>9.5558507461889093</v>
      </c>
      <c r="P294" s="4">
        <f t="shared" si="52"/>
        <v>6.5011076180146219</v>
      </c>
      <c r="Q294" s="4">
        <f t="shared" si="53"/>
        <v>-9.2175423593461527</v>
      </c>
      <c r="S294">
        <v>150</v>
      </c>
      <c r="T294">
        <v>70</v>
      </c>
      <c r="U294" s="6">
        <f t="shared" si="54"/>
        <v>-6.9616453315679712</v>
      </c>
      <c r="V294" s="7">
        <f t="shared" si="55"/>
        <v>-12.559660298905802</v>
      </c>
      <c r="W294" s="6">
        <f t="shared" si="56"/>
        <v>4.4349999999999987</v>
      </c>
      <c r="X294" s="6">
        <f t="shared" si="57"/>
        <v>9.5503271061273569</v>
      </c>
      <c r="Y294" s="5">
        <f t="shared" si="58"/>
        <v>6.5001825148212546</v>
      </c>
      <c r="Z294" s="5">
        <f t="shared" si="59"/>
        <v>-9.2217007275182326</v>
      </c>
    </row>
    <row r="295" spans="10:26" x14ac:dyDescent="0.25">
      <c r="J295">
        <v>150</v>
      </c>
      <c r="K295">
        <v>80</v>
      </c>
      <c r="L295">
        <f t="shared" si="48"/>
        <v>-6.9547778076576394</v>
      </c>
      <c r="M295" s="2">
        <f t="shared" si="49"/>
        <v>-13.023837632673322</v>
      </c>
      <c r="N295">
        <f t="shared" si="50"/>
        <v>4.4328115399999994</v>
      </c>
      <c r="O295">
        <f t="shared" si="51"/>
        <v>9.0915162967597922</v>
      </c>
      <c r="P295" s="4">
        <f t="shared" si="52"/>
        <v>6.3136444575763546</v>
      </c>
      <c r="Q295" s="4">
        <f t="shared" si="53"/>
        <v>-9.4050055197844191</v>
      </c>
      <c r="S295">
        <v>150</v>
      </c>
      <c r="T295">
        <v>80</v>
      </c>
      <c r="U295" s="6">
        <f t="shared" si="54"/>
        <v>-6.9616453315679712</v>
      </c>
      <c r="V295" s="7">
        <f t="shared" si="55"/>
        <v>-13.023105992611772</v>
      </c>
      <c r="W295" s="6">
        <f t="shared" si="56"/>
        <v>4.4349999999999987</v>
      </c>
      <c r="X295" s="6">
        <f t="shared" si="57"/>
        <v>9.0868814124213877</v>
      </c>
      <c r="Y295" s="5">
        <f t="shared" si="58"/>
        <v>6.3130781667797935</v>
      </c>
      <c r="Z295" s="5">
        <f t="shared" si="59"/>
        <v>-9.4088050755596946</v>
      </c>
    </row>
    <row r="296" spans="10:26" x14ac:dyDescent="0.25">
      <c r="J296">
        <v>150</v>
      </c>
      <c r="K296">
        <v>90</v>
      </c>
      <c r="L296">
        <f t="shared" si="48"/>
        <v>-6.9547778076576394</v>
      </c>
      <c r="M296" s="2">
        <f t="shared" si="49"/>
        <v>-13.40048696749043</v>
      </c>
      <c r="N296">
        <f t="shared" si="50"/>
        <v>4.4328115399999994</v>
      </c>
      <c r="O296">
        <f t="shared" si="51"/>
        <v>8.5536052999999974</v>
      </c>
      <c r="P296" s="4">
        <f t="shared" si="52"/>
        <v>6.0964766475827892</v>
      </c>
      <c r="Q296" s="4">
        <f t="shared" si="53"/>
        <v>-9.5570680573984088</v>
      </c>
      <c r="S296">
        <v>150</v>
      </c>
      <c r="T296">
        <v>90</v>
      </c>
      <c r="U296" s="6">
        <f t="shared" si="54"/>
        <v>-6.9616453315679712</v>
      </c>
      <c r="V296" s="7">
        <f t="shared" si="55"/>
        <v>-13.399034404713904</v>
      </c>
      <c r="W296" s="6">
        <f t="shared" si="56"/>
        <v>4.4349999999999987</v>
      </c>
      <c r="X296" s="6">
        <f t="shared" si="57"/>
        <v>8.5499999999999989</v>
      </c>
      <c r="Y296" s="5">
        <f t="shared" si="58"/>
        <v>6.0963260251353075</v>
      </c>
      <c r="Z296" s="5">
        <f t="shared" si="59"/>
        <v>-9.5605765590622607</v>
      </c>
    </row>
    <row r="297" spans="10:26" x14ac:dyDescent="0.25">
      <c r="J297">
        <v>150</v>
      </c>
      <c r="K297">
        <v>100</v>
      </c>
      <c r="L297">
        <f t="shared" si="48"/>
        <v>-6.9547778076576394</v>
      </c>
      <c r="M297" s="2">
        <f t="shared" si="49"/>
        <v>-13.678006888250867</v>
      </c>
      <c r="N297">
        <f t="shared" si="50"/>
        <v>4.4328115399999994</v>
      </c>
      <c r="O297">
        <f t="shared" si="51"/>
        <v>7.9584619093499773</v>
      </c>
      <c r="P297" s="4">
        <f t="shared" si="52"/>
        <v>5.8562027220483674</v>
      </c>
      <c r="Q297" s="4">
        <f t="shared" si="53"/>
        <v>-9.6691096289300731</v>
      </c>
      <c r="S297">
        <v>150</v>
      </c>
      <c r="T297">
        <v>100</v>
      </c>
      <c r="U297" s="6">
        <f t="shared" si="54"/>
        <v>-6.9616453315679712</v>
      </c>
      <c r="V297" s="7">
        <f t="shared" si="55"/>
        <v>-13.67602314063943</v>
      </c>
      <c r="W297" s="6">
        <f t="shared" si="56"/>
        <v>4.4349999999999987</v>
      </c>
      <c r="X297" s="6">
        <f t="shared" si="57"/>
        <v>7.9559957389045142</v>
      </c>
      <c r="Y297" s="5">
        <f t="shared" si="58"/>
        <v>5.8565119940297912</v>
      </c>
      <c r="Z297" s="5">
        <f t="shared" si="59"/>
        <v>-9.6724036782997835</v>
      </c>
    </row>
    <row r="298" spans="10:26" x14ac:dyDescent="0.25">
      <c r="J298">
        <v>150</v>
      </c>
      <c r="K298">
        <v>110</v>
      </c>
      <c r="L298">
        <f t="shared" si="48"/>
        <v>-6.9547778076576394</v>
      </c>
      <c r="M298" s="2">
        <f t="shared" si="49"/>
        <v>-13.847965092594183</v>
      </c>
      <c r="N298">
        <f t="shared" si="50"/>
        <v>4.4328115399999994</v>
      </c>
      <c r="O298">
        <f t="shared" si="51"/>
        <v>7.3241692555775417</v>
      </c>
      <c r="P298" s="4">
        <f t="shared" si="52"/>
        <v>5.6001232826159759</v>
      </c>
      <c r="Q298" s="4">
        <f t="shared" si="53"/>
        <v>-9.7377259079241973</v>
      </c>
      <c r="S298">
        <v>150</v>
      </c>
      <c r="T298">
        <v>110</v>
      </c>
      <c r="U298" s="6">
        <f t="shared" si="54"/>
        <v>-6.9616453315679712</v>
      </c>
      <c r="V298" s="7">
        <f t="shared" si="55"/>
        <v>-13.845656037810317</v>
      </c>
      <c r="W298" s="6">
        <f t="shared" si="56"/>
        <v>4.4349999999999987</v>
      </c>
      <c r="X298" s="6">
        <f t="shared" si="57"/>
        <v>7.3229171480276571</v>
      </c>
      <c r="Y298" s="5">
        <f t="shared" si="58"/>
        <v>5.6009227014466303</v>
      </c>
      <c r="Z298" s="5">
        <f t="shared" si="59"/>
        <v>-9.740888622841485</v>
      </c>
    </row>
    <row r="299" spans="10:26" x14ac:dyDescent="0.25">
      <c r="J299">
        <v>150</v>
      </c>
      <c r="K299">
        <v>120</v>
      </c>
      <c r="L299">
        <f t="shared" si="48"/>
        <v>-6.9547778076576394</v>
      </c>
      <c r="M299" s="2">
        <f t="shared" si="49"/>
        <v>-13.905197486484411</v>
      </c>
      <c r="N299">
        <f t="shared" si="50"/>
        <v>4.4328115399999994</v>
      </c>
      <c r="O299">
        <f t="shared" si="51"/>
        <v>6.67</v>
      </c>
      <c r="P299" s="4">
        <f t="shared" si="52"/>
        <v>5.3360191734703237</v>
      </c>
      <c r="Q299" s="4">
        <f t="shared" si="53"/>
        <v>-9.7608320234650545</v>
      </c>
      <c r="S299">
        <v>150</v>
      </c>
      <c r="T299">
        <v>120</v>
      </c>
      <c r="U299" s="6">
        <f t="shared" si="54"/>
        <v>-6.9616453315679712</v>
      </c>
      <c r="V299" s="7">
        <f t="shared" si="55"/>
        <v>-13.902778886484414</v>
      </c>
      <c r="W299" s="6">
        <f t="shared" si="56"/>
        <v>4.4349999999999987</v>
      </c>
      <c r="X299" s="6">
        <f t="shared" si="57"/>
        <v>6.67</v>
      </c>
      <c r="Y299" s="5">
        <f t="shared" si="58"/>
        <v>5.3373240987065405</v>
      </c>
      <c r="Z299" s="5">
        <f t="shared" si="59"/>
        <v>-9.7639505123025163</v>
      </c>
    </row>
    <row r="300" spans="10:26" x14ac:dyDescent="0.25">
      <c r="J300">
        <v>150</v>
      </c>
      <c r="K300">
        <v>130</v>
      </c>
      <c r="L300">
        <f t="shared" si="48"/>
        <v>-6.9547778076576394</v>
      </c>
      <c r="M300" s="2">
        <f t="shared" si="49"/>
        <v>-13.847965092594183</v>
      </c>
      <c r="N300">
        <f t="shared" si="50"/>
        <v>4.4328115399999994</v>
      </c>
      <c r="O300">
        <f t="shared" si="51"/>
        <v>6.0158307444224555</v>
      </c>
      <c r="P300" s="4">
        <f t="shared" si="52"/>
        <v>5.0719150643246689</v>
      </c>
      <c r="Q300" s="4">
        <f t="shared" si="53"/>
        <v>-9.7377259079241973</v>
      </c>
      <c r="S300">
        <v>150</v>
      </c>
      <c r="T300">
        <v>130</v>
      </c>
      <c r="U300" s="6">
        <f t="shared" si="54"/>
        <v>-6.9616453315679712</v>
      </c>
      <c r="V300" s="7">
        <f t="shared" si="55"/>
        <v>-13.845656037810317</v>
      </c>
      <c r="W300" s="6">
        <f t="shared" si="56"/>
        <v>4.4349999999999987</v>
      </c>
      <c r="X300" s="6">
        <f t="shared" si="57"/>
        <v>6.0170828519723401</v>
      </c>
      <c r="Y300" s="5">
        <f t="shared" si="58"/>
        <v>5.0737254959664497</v>
      </c>
      <c r="Z300" s="5">
        <f t="shared" si="59"/>
        <v>-9.740888622841485</v>
      </c>
    </row>
    <row r="301" spans="10:26" x14ac:dyDescent="0.25">
      <c r="J301">
        <v>150</v>
      </c>
      <c r="K301">
        <v>140</v>
      </c>
      <c r="L301">
        <f t="shared" si="48"/>
        <v>-6.9547778076576394</v>
      </c>
      <c r="M301" s="2">
        <f t="shared" si="49"/>
        <v>-13.678006888250867</v>
      </c>
      <c r="N301">
        <f t="shared" si="50"/>
        <v>4.4328115399999994</v>
      </c>
      <c r="O301">
        <f t="shared" si="51"/>
        <v>5.3815380906500216</v>
      </c>
      <c r="P301" s="4">
        <f t="shared" si="52"/>
        <v>4.81583562489228</v>
      </c>
      <c r="Q301" s="4">
        <f t="shared" si="53"/>
        <v>-9.6691096289300731</v>
      </c>
      <c r="S301">
        <v>150</v>
      </c>
      <c r="T301">
        <v>140</v>
      </c>
      <c r="U301" s="6">
        <f t="shared" si="54"/>
        <v>-6.9616453315679712</v>
      </c>
      <c r="V301" s="7">
        <f t="shared" si="55"/>
        <v>-13.67602314063943</v>
      </c>
      <c r="W301" s="6">
        <f t="shared" si="56"/>
        <v>4.4349999999999987</v>
      </c>
      <c r="X301" s="6">
        <f t="shared" si="57"/>
        <v>5.3840042610954839</v>
      </c>
      <c r="Y301" s="5">
        <f t="shared" si="58"/>
        <v>4.818136203383288</v>
      </c>
      <c r="Z301" s="5">
        <f t="shared" si="59"/>
        <v>-9.6724036782997835</v>
      </c>
    </row>
    <row r="302" spans="10:26" x14ac:dyDescent="0.25">
      <c r="J302">
        <v>150</v>
      </c>
      <c r="K302">
        <v>150</v>
      </c>
      <c r="L302">
        <f t="shared" si="48"/>
        <v>-6.9547778076576394</v>
      </c>
      <c r="M302" s="2">
        <f t="shared" si="49"/>
        <v>-13.400486967490428</v>
      </c>
      <c r="N302">
        <f t="shared" si="50"/>
        <v>4.4328115399999994</v>
      </c>
      <c r="O302">
        <f t="shared" si="51"/>
        <v>4.7863946999999989</v>
      </c>
      <c r="P302" s="4">
        <f t="shared" si="52"/>
        <v>4.5755616993578565</v>
      </c>
      <c r="Q302" s="4">
        <f t="shared" si="53"/>
        <v>-9.5570680573984088</v>
      </c>
      <c r="S302">
        <v>150</v>
      </c>
      <c r="T302">
        <v>150</v>
      </c>
      <c r="U302" s="6">
        <f t="shared" si="54"/>
        <v>-6.9616453315679712</v>
      </c>
      <c r="V302" s="7">
        <f t="shared" si="55"/>
        <v>-13.399034404713904</v>
      </c>
      <c r="W302" s="6">
        <f t="shared" si="56"/>
        <v>4.4349999999999987</v>
      </c>
      <c r="X302" s="6">
        <f t="shared" si="57"/>
        <v>4.7899999999999974</v>
      </c>
      <c r="Y302" s="5">
        <f t="shared" si="58"/>
        <v>4.5783221722777707</v>
      </c>
      <c r="Z302" s="5">
        <f t="shared" si="59"/>
        <v>-9.5605765590622607</v>
      </c>
    </row>
    <row r="303" spans="10:26" x14ac:dyDescent="0.25">
      <c r="J303">
        <v>150</v>
      </c>
      <c r="K303">
        <v>160</v>
      </c>
      <c r="L303">
        <f t="shared" si="48"/>
        <v>-6.9547778076576394</v>
      </c>
      <c r="M303" s="2">
        <f t="shared" si="49"/>
        <v>-13.023837632673322</v>
      </c>
      <c r="N303">
        <f t="shared" si="50"/>
        <v>4.4328115399999994</v>
      </c>
      <c r="O303">
        <f t="shared" si="51"/>
        <v>4.2484837032402067</v>
      </c>
      <c r="P303" s="4">
        <f t="shared" si="52"/>
        <v>4.358393889364292</v>
      </c>
      <c r="Q303" s="4">
        <f t="shared" si="53"/>
        <v>-9.4050055197844191</v>
      </c>
      <c r="S303">
        <v>150</v>
      </c>
      <c r="T303">
        <v>160</v>
      </c>
      <c r="U303" s="6">
        <f t="shared" si="54"/>
        <v>-6.9616453315679712</v>
      </c>
      <c r="V303" s="7">
        <f t="shared" si="55"/>
        <v>-13.023105992611772</v>
      </c>
      <c r="W303" s="6">
        <f t="shared" si="56"/>
        <v>4.4349999999999987</v>
      </c>
      <c r="X303" s="6">
        <f t="shared" si="57"/>
        <v>4.2531185875786104</v>
      </c>
      <c r="Y303" s="5">
        <f t="shared" si="58"/>
        <v>4.3615700306332865</v>
      </c>
      <c r="Z303" s="5">
        <f t="shared" si="59"/>
        <v>-9.4088050755596946</v>
      </c>
    </row>
    <row r="304" spans="10:26" x14ac:dyDescent="0.25">
      <c r="J304">
        <v>150</v>
      </c>
      <c r="K304">
        <v>170</v>
      </c>
      <c r="L304">
        <f t="shared" si="48"/>
        <v>-6.9547778076576394</v>
      </c>
      <c r="M304" s="2">
        <f t="shared" si="49"/>
        <v>-12.559503183244207</v>
      </c>
      <c r="N304">
        <f t="shared" si="50"/>
        <v>4.4328115399999994</v>
      </c>
      <c r="O304">
        <f t="shared" si="51"/>
        <v>3.7841492538110897</v>
      </c>
      <c r="P304" s="4">
        <f t="shared" si="52"/>
        <v>4.1709307289260256</v>
      </c>
      <c r="Q304" s="4">
        <f t="shared" si="53"/>
        <v>-9.2175423593461527</v>
      </c>
      <c r="S304">
        <v>150</v>
      </c>
      <c r="T304">
        <v>170</v>
      </c>
      <c r="U304" s="6">
        <f t="shared" si="54"/>
        <v>-6.9616453315679712</v>
      </c>
      <c r="V304" s="7">
        <f t="shared" si="55"/>
        <v>-12.559660298905802</v>
      </c>
      <c r="W304" s="6">
        <f t="shared" si="56"/>
        <v>4.4349999999999987</v>
      </c>
      <c r="X304" s="6">
        <f t="shared" si="57"/>
        <v>3.7896728938726407</v>
      </c>
      <c r="Y304" s="5">
        <f t="shared" si="58"/>
        <v>4.1744656825918254</v>
      </c>
      <c r="Z304" s="5">
        <f t="shared" si="59"/>
        <v>-9.2217007275182326</v>
      </c>
    </row>
    <row r="305" spans="10:26" x14ac:dyDescent="0.25">
      <c r="J305">
        <v>150</v>
      </c>
      <c r="K305">
        <v>180</v>
      </c>
      <c r="L305">
        <f t="shared" si="48"/>
        <v>-6.9547778076576394</v>
      </c>
      <c r="M305" s="2">
        <f t="shared" si="49"/>
        <v>-12.021592186484414</v>
      </c>
      <c r="N305">
        <f t="shared" si="50"/>
        <v>4.4328115399999994</v>
      </c>
      <c r="O305">
        <f t="shared" si="51"/>
        <v>3.4074999189939841</v>
      </c>
      <c r="P305" s="4">
        <f t="shared" si="52"/>
        <v>4.0188681913120377</v>
      </c>
      <c r="Q305" s="4">
        <f t="shared" si="53"/>
        <v>-9.0003745493525891</v>
      </c>
      <c r="S305">
        <v>150</v>
      </c>
      <c r="T305">
        <v>180</v>
      </c>
      <c r="U305" s="6">
        <f t="shared" si="54"/>
        <v>-6.9616453315679712</v>
      </c>
      <c r="V305" s="7">
        <f t="shared" si="55"/>
        <v>-12.022778886484415</v>
      </c>
      <c r="W305" s="6">
        <f t="shared" si="56"/>
        <v>4.4349999999999987</v>
      </c>
      <c r="X305" s="6">
        <f t="shared" si="57"/>
        <v>3.4137444817705096</v>
      </c>
      <c r="Y305" s="5">
        <f t="shared" si="58"/>
        <v>4.0226941990892584</v>
      </c>
      <c r="Z305" s="5">
        <f t="shared" si="59"/>
        <v>-9.0049485858737501</v>
      </c>
    </row>
    <row r="306" spans="10:26" x14ac:dyDescent="0.25">
      <c r="J306">
        <v>160</v>
      </c>
      <c r="K306">
        <v>0</v>
      </c>
      <c r="L306">
        <f t="shared" si="48"/>
        <v>-7.6078835869452366</v>
      </c>
      <c r="M306" s="2">
        <f t="shared" si="49"/>
        <v>-9.8322456519340378</v>
      </c>
      <c r="N306">
        <f t="shared" si="50"/>
        <v>3.0322216764929584</v>
      </c>
      <c r="O306">
        <f t="shared" si="51"/>
        <v>8.1025687137308751</v>
      </c>
      <c r="P306" s="4">
        <f t="shared" si="52"/>
        <v>5.0792446386876264</v>
      </c>
      <c r="Q306" s="4">
        <f t="shared" si="53"/>
        <v>-8.5059128914141588</v>
      </c>
      <c r="S306">
        <v>160</v>
      </c>
      <c r="T306">
        <v>0</v>
      </c>
      <c r="U306" s="6">
        <f t="shared" si="54"/>
        <v>-7.6150735463710069</v>
      </c>
      <c r="V306" s="7">
        <f t="shared" si="55"/>
        <v>-9.8395038223795002</v>
      </c>
      <c r="W306" s="6">
        <f t="shared" si="56"/>
        <v>3.0337186712986828</v>
      </c>
      <c r="X306" s="6">
        <f t="shared" si="57"/>
        <v>8.0957929661194399</v>
      </c>
      <c r="Y306" s="5">
        <f t="shared" si="58"/>
        <v>5.0774017252851209</v>
      </c>
      <c r="Z306" s="5">
        <f t="shared" si="59"/>
        <v>-8.5131303892949024</v>
      </c>
    </row>
    <row r="307" spans="10:26" x14ac:dyDescent="0.25">
      <c r="J307">
        <v>160</v>
      </c>
      <c r="K307">
        <v>10</v>
      </c>
      <c r="L307">
        <f t="shared" si="48"/>
        <v>-7.6078835869452366</v>
      </c>
      <c r="M307" s="2">
        <f t="shared" si="49"/>
        <v>-10.466538305706473</v>
      </c>
      <c r="N307">
        <f t="shared" si="50"/>
        <v>3.0322216764929584</v>
      </c>
      <c r="O307">
        <f t="shared" si="51"/>
        <v>8.2725269180741936</v>
      </c>
      <c r="P307" s="4">
        <f t="shared" si="52"/>
        <v>5.1478609176817507</v>
      </c>
      <c r="Q307" s="4">
        <f t="shared" si="53"/>
        <v>-8.7619923308465495</v>
      </c>
      <c r="S307">
        <v>160</v>
      </c>
      <c r="T307">
        <v>10</v>
      </c>
      <c r="U307" s="6">
        <f t="shared" si="54"/>
        <v>-7.6150735463710069</v>
      </c>
      <c r="V307" s="7">
        <f t="shared" si="55"/>
        <v>-10.472582413256358</v>
      </c>
      <c r="W307" s="6">
        <f t="shared" si="56"/>
        <v>3.0337186712986828</v>
      </c>
      <c r="X307" s="6">
        <f t="shared" si="57"/>
        <v>8.2654258632903268</v>
      </c>
      <c r="Y307" s="5">
        <f t="shared" si="58"/>
        <v>5.1458866698268197</v>
      </c>
      <c r="Z307" s="5">
        <f t="shared" si="59"/>
        <v>-8.7687196818780642</v>
      </c>
    </row>
    <row r="308" spans="10:26" x14ac:dyDescent="0.25">
      <c r="J308">
        <v>160</v>
      </c>
      <c r="K308">
        <v>20</v>
      </c>
      <c r="L308">
        <f t="shared" si="48"/>
        <v>-7.6078835869452366</v>
      </c>
      <c r="M308" s="2">
        <f t="shared" si="49"/>
        <v>-11.120707561284016</v>
      </c>
      <c r="N308">
        <f t="shared" si="50"/>
        <v>3.0322216764929584</v>
      </c>
      <c r="O308">
        <f t="shared" si="51"/>
        <v>8.3297593119644215</v>
      </c>
      <c r="P308" s="4">
        <f t="shared" si="52"/>
        <v>5.1709670332226079</v>
      </c>
      <c r="Q308" s="4">
        <f t="shared" si="53"/>
        <v>-9.0260964399922017</v>
      </c>
      <c r="S308">
        <v>160</v>
      </c>
      <c r="T308">
        <v>20</v>
      </c>
      <c r="U308" s="6">
        <f t="shared" si="54"/>
        <v>-7.6150735463710069</v>
      </c>
      <c r="V308" s="7">
        <f t="shared" si="55"/>
        <v>-11.125499561284016</v>
      </c>
      <c r="W308" s="6">
        <f t="shared" si="56"/>
        <v>3.0337186712986828</v>
      </c>
      <c r="X308" s="6">
        <f t="shared" si="57"/>
        <v>8.3225487119644246</v>
      </c>
      <c r="Y308" s="5">
        <f t="shared" si="58"/>
        <v>5.1689485592878528</v>
      </c>
      <c r="Z308" s="5">
        <f t="shared" si="59"/>
        <v>-9.0323182846181549</v>
      </c>
    </row>
    <row r="309" spans="10:26" x14ac:dyDescent="0.25">
      <c r="J309">
        <v>160</v>
      </c>
      <c r="K309">
        <v>30</v>
      </c>
      <c r="L309">
        <f t="shared" si="48"/>
        <v>-7.6078835869452366</v>
      </c>
      <c r="M309" s="2">
        <f t="shared" si="49"/>
        <v>-11.774876816861559</v>
      </c>
      <c r="N309">
        <f t="shared" si="50"/>
        <v>3.0322216764929584</v>
      </c>
      <c r="O309">
        <f t="shared" si="51"/>
        <v>8.2725269180741936</v>
      </c>
      <c r="P309" s="4">
        <f t="shared" si="52"/>
        <v>5.1478609176817507</v>
      </c>
      <c r="Q309" s="4">
        <f t="shared" si="53"/>
        <v>-9.2902005491378556</v>
      </c>
      <c r="S309">
        <v>160</v>
      </c>
      <c r="T309">
        <v>30</v>
      </c>
      <c r="U309" s="6">
        <f t="shared" si="54"/>
        <v>-7.6150735463710069</v>
      </c>
      <c r="V309" s="7">
        <f t="shared" si="55"/>
        <v>-11.778416709311674</v>
      </c>
      <c r="W309" s="6">
        <f t="shared" si="56"/>
        <v>3.0337186712986828</v>
      </c>
      <c r="X309" s="6">
        <f t="shared" si="57"/>
        <v>8.2654258632903268</v>
      </c>
      <c r="Y309" s="5">
        <f t="shared" si="58"/>
        <v>5.1458866698268197</v>
      </c>
      <c r="Z309" s="5">
        <f t="shared" si="59"/>
        <v>-9.2959168873582456</v>
      </c>
    </row>
    <row r="310" spans="10:26" x14ac:dyDescent="0.25">
      <c r="J310">
        <v>160</v>
      </c>
      <c r="K310">
        <v>40</v>
      </c>
      <c r="L310">
        <f t="shared" si="48"/>
        <v>-7.6078835869452366</v>
      </c>
      <c r="M310" s="2">
        <f t="shared" si="49"/>
        <v>-12.409169470633994</v>
      </c>
      <c r="N310">
        <f t="shared" si="50"/>
        <v>3.0322216764929584</v>
      </c>
      <c r="O310">
        <f t="shared" si="51"/>
        <v>8.1025687137308768</v>
      </c>
      <c r="P310" s="4">
        <f t="shared" si="52"/>
        <v>5.0792446386876273</v>
      </c>
      <c r="Q310" s="4">
        <f t="shared" si="53"/>
        <v>-9.5462799885702481</v>
      </c>
      <c r="S310">
        <v>160</v>
      </c>
      <c r="T310">
        <v>40</v>
      </c>
      <c r="U310" s="6">
        <f t="shared" si="54"/>
        <v>-7.6150735463710069</v>
      </c>
      <c r="V310" s="7">
        <f t="shared" si="55"/>
        <v>-12.41149530018853</v>
      </c>
      <c r="W310" s="6">
        <f t="shared" si="56"/>
        <v>3.0337186712986828</v>
      </c>
      <c r="X310" s="6">
        <f t="shared" si="57"/>
        <v>8.0957929661194399</v>
      </c>
      <c r="Y310" s="5">
        <f t="shared" si="58"/>
        <v>5.0774017252851209</v>
      </c>
      <c r="Z310" s="5">
        <f t="shared" si="59"/>
        <v>-9.5515061799414056</v>
      </c>
    </row>
    <row r="311" spans="10:26" x14ac:dyDescent="0.25">
      <c r="J311">
        <v>160</v>
      </c>
      <c r="K311">
        <v>50</v>
      </c>
      <c r="L311">
        <f t="shared" si="48"/>
        <v>-7.6078835869452366</v>
      </c>
      <c r="M311" s="2">
        <f t="shared" si="49"/>
        <v>-13.004312861284014</v>
      </c>
      <c r="N311">
        <f t="shared" si="50"/>
        <v>3.0322216764929584</v>
      </c>
      <c r="O311">
        <f t="shared" si="51"/>
        <v>7.8250487929704393</v>
      </c>
      <c r="P311" s="4">
        <f t="shared" si="52"/>
        <v>4.9672030671559613</v>
      </c>
      <c r="Q311" s="4">
        <f t="shared" si="53"/>
        <v>-9.7865539141046671</v>
      </c>
      <c r="S311">
        <v>160</v>
      </c>
      <c r="T311">
        <v>50</v>
      </c>
      <c r="U311" s="6">
        <f t="shared" si="54"/>
        <v>-7.6150735463710069</v>
      </c>
      <c r="V311" s="7">
        <f t="shared" si="55"/>
        <v>-13.005499561284015</v>
      </c>
      <c r="W311" s="6">
        <f t="shared" si="56"/>
        <v>3.0337186712986828</v>
      </c>
      <c r="X311" s="6">
        <f t="shared" si="57"/>
        <v>7.8188042301939138</v>
      </c>
      <c r="Y311" s="5">
        <f t="shared" si="58"/>
        <v>4.9655746060475972</v>
      </c>
      <c r="Z311" s="5">
        <f t="shared" si="59"/>
        <v>-9.7913202110469229</v>
      </c>
    </row>
    <row r="312" spans="10:26" x14ac:dyDescent="0.25">
      <c r="J312">
        <v>160</v>
      </c>
      <c r="K312">
        <v>60</v>
      </c>
      <c r="L312">
        <f t="shared" si="48"/>
        <v>-7.6078835869452366</v>
      </c>
      <c r="M312" s="2">
        <f t="shared" si="49"/>
        <v>-13.542223858043808</v>
      </c>
      <c r="N312">
        <f t="shared" si="50"/>
        <v>3.0322216764929584</v>
      </c>
      <c r="O312">
        <f t="shared" si="51"/>
        <v>7.4483994581533324</v>
      </c>
      <c r="P312" s="4">
        <f t="shared" si="52"/>
        <v>4.8151405295419725</v>
      </c>
      <c r="Q312" s="4">
        <f t="shared" si="53"/>
        <v>-10.003721724098234</v>
      </c>
      <c r="S312">
        <v>160</v>
      </c>
      <c r="T312">
        <v>60</v>
      </c>
      <c r="U312" s="6">
        <f t="shared" si="54"/>
        <v>-7.6150735463710069</v>
      </c>
      <c r="V312" s="7">
        <f t="shared" si="55"/>
        <v>-13.542380973705406</v>
      </c>
      <c r="W312" s="6">
        <f t="shared" si="56"/>
        <v>3.0337186712986828</v>
      </c>
      <c r="X312" s="6">
        <f t="shared" si="57"/>
        <v>7.4428758180917818</v>
      </c>
      <c r="Y312" s="5">
        <f t="shared" si="58"/>
        <v>4.8138031225450302</v>
      </c>
      <c r="Z312" s="5">
        <f t="shared" si="59"/>
        <v>-10.008072352691407</v>
      </c>
    </row>
    <row r="313" spans="10:26" x14ac:dyDescent="0.25">
      <c r="J313">
        <v>160</v>
      </c>
      <c r="K313">
        <v>70</v>
      </c>
      <c r="L313">
        <f t="shared" si="48"/>
        <v>-7.6078835869452366</v>
      </c>
      <c r="M313" s="2">
        <f t="shared" si="49"/>
        <v>-14.006558307472925</v>
      </c>
      <c r="N313">
        <f t="shared" si="50"/>
        <v>3.0322216764929584</v>
      </c>
      <c r="O313">
        <f t="shared" si="51"/>
        <v>6.9840650087242162</v>
      </c>
      <c r="P313" s="4">
        <f t="shared" si="52"/>
        <v>4.627677369103707</v>
      </c>
      <c r="Q313" s="4">
        <f t="shared" si="53"/>
        <v>-10.191184884536501</v>
      </c>
      <c r="S313">
        <v>160</v>
      </c>
      <c r="T313">
        <v>70</v>
      </c>
      <c r="U313" s="6">
        <f t="shared" si="54"/>
        <v>-7.6150735463710069</v>
      </c>
      <c r="V313" s="7">
        <f t="shared" si="55"/>
        <v>-14.005826667411375</v>
      </c>
      <c r="W313" s="6">
        <f t="shared" si="56"/>
        <v>3.0337186712986828</v>
      </c>
      <c r="X313" s="6">
        <f t="shared" si="57"/>
        <v>6.9794301243858126</v>
      </c>
      <c r="Y313" s="5">
        <f t="shared" si="58"/>
        <v>4.6266987745035681</v>
      </c>
      <c r="Z313" s="5">
        <f t="shared" si="59"/>
        <v>-10.195176700732869</v>
      </c>
    </row>
    <row r="314" spans="10:26" x14ac:dyDescent="0.25">
      <c r="J314">
        <v>160</v>
      </c>
      <c r="K314">
        <v>80</v>
      </c>
      <c r="L314">
        <f t="shared" si="48"/>
        <v>-7.6078835869452366</v>
      </c>
      <c r="M314" s="2">
        <f t="shared" si="49"/>
        <v>-14.383207642290031</v>
      </c>
      <c r="N314">
        <f t="shared" si="50"/>
        <v>3.0322216764929584</v>
      </c>
      <c r="O314">
        <f t="shared" si="51"/>
        <v>6.4461540119644223</v>
      </c>
      <c r="P314" s="4">
        <f t="shared" si="52"/>
        <v>4.4105095591101415</v>
      </c>
      <c r="Q314" s="4">
        <f t="shared" si="53"/>
        <v>-10.343247422150489</v>
      </c>
      <c r="S314">
        <v>160</v>
      </c>
      <c r="T314">
        <v>80</v>
      </c>
      <c r="U314" s="6">
        <f t="shared" si="54"/>
        <v>-7.6150735463710069</v>
      </c>
      <c r="V314" s="7">
        <f t="shared" si="55"/>
        <v>-14.381755079513507</v>
      </c>
      <c r="W314" s="6">
        <f t="shared" si="56"/>
        <v>3.0337186712986828</v>
      </c>
      <c r="X314" s="6">
        <f t="shared" si="57"/>
        <v>6.4425487119644238</v>
      </c>
      <c r="Y314" s="5">
        <f t="shared" si="58"/>
        <v>4.4099466328590831</v>
      </c>
      <c r="Z314" s="5">
        <f t="shared" si="59"/>
        <v>-10.346948184235437</v>
      </c>
    </row>
    <row r="315" spans="10:26" x14ac:dyDescent="0.25">
      <c r="J315">
        <v>160</v>
      </c>
      <c r="K315">
        <v>90</v>
      </c>
      <c r="L315">
        <f t="shared" si="48"/>
        <v>-7.6078835869452366</v>
      </c>
      <c r="M315" s="2">
        <f t="shared" si="49"/>
        <v>-14.660727563050468</v>
      </c>
      <c r="N315">
        <f t="shared" si="50"/>
        <v>3.0322216764929584</v>
      </c>
      <c r="O315">
        <f t="shared" si="51"/>
        <v>5.8510106213144013</v>
      </c>
      <c r="P315" s="4">
        <f t="shared" si="52"/>
        <v>4.1702356335757189</v>
      </c>
      <c r="Q315" s="4">
        <f t="shared" si="53"/>
        <v>-10.455288993682155</v>
      </c>
      <c r="S315">
        <v>160</v>
      </c>
      <c r="T315">
        <v>90</v>
      </c>
      <c r="U315" s="6">
        <f t="shared" si="54"/>
        <v>-7.6150735463710069</v>
      </c>
      <c r="V315" s="7">
        <f t="shared" si="55"/>
        <v>-14.658743815439033</v>
      </c>
      <c r="W315" s="6">
        <f t="shared" si="56"/>
        <v>3.0337186712986828</v>
      </c>
      <c r="X315" s="6">
        <f t="shared" si="57"/>
        <v>5.848544450868939</v>
      </c>
      <c r="Y315" s="5">
        <f t="shared" si="58"/>
        <v>4.1701326017535676</v>
      </c>
      <c r="Z315" s="5">
        <f t="shared" si="59"/>
        <v>-10.458775303472958</v>
      </c>
    </row>
    <row r="316" spans="10:26" x14ac:dyDescent="0.25">
      <c r="J316">
        <v>160</v>
      </c>
      <c r="K316">
        <v>100</v>
      </c>
      <c r="L316">
        <f t="shared" si="48"/>
        <v>-7.6078835869452366</v>
      </c>
      <c r="M316" s="2">
        <f t="shared" si="49"/>
        <v>-14.830685767393787</v>
      </c>
      <c r="N316">
        <f t="shared" si="50"/>
        <v>3.0322216764929584</v>
      </c>
      <c r="O316">
        <f t="shared" si="51"/>
        <v>5.2167179675419657</v>
      </c>
      <c r="P316" s="4">
        <f t="shared" si="52"/>
        <v>3.9141561941433283</v>
      </c>
      <c r="Q316" s="4">
        <f t="shared" si="53"/>
        <v>-10.523905272676279</v>
      </c>
      <c r="S316">
        <v>160</v>
      </c>
      <c r="T316">
        <v>100</v>
      </c>
      <c r="U316" s="6">
        <f t="shared" si="54"/>
        <v>-7.6150735463710069</v>
      </c>
      <c r="V316" s="7">
        <f t="shared" si="55"/>
        <v>-14.82837671260992</v>
      </c>
      <c r="W316" s="6">
        <f t="shared" si="56"/>
        <v>3.0337186712986828</v>
      </c>
      <c r="X316" s="6">
        <f t="shared" si="57"/>
        <v>5.2154658599920811</v>
      </c>
      <c r="Y316" s="5">
        <f t="shared" si="58"/>
        <v>3.9145433091704054</v>
      </c>
      <c r="Z316" s="5">
        <f t="shared" si="59"/>
        <v>-10.52726024801466</v>
      </c>
    </row>
    <row r="317" spans="10:26" x14ac:dyDescent="0.25">
      <c r="J317">
        <v>160</v>
      </c>
      <c r="K317">
        <v>110</v>
      </c>
      <c r="L317">
        <f t="shared" si="48"/>
        <v>-7.6078835869452366</v>
      </c>
      <c r="M317" s="2">
        <f t="shared" si="49"/>
        <v>-14.887918161284015</v>
      </c>
      <c r="N317">
        <f t="shared" si="50"/>
        <v>3.0322216764929584</v>
      </c>
      <c r="O317">
        <f t="shared" si="51"/>
        <v>4.5625487119644239</v>
      </c>
      <c r="P317" s="4">
        <f t="shared" si="52"/>
        <v>3.6500520849976756</v>
      </c>
      <c r="Q317" s="4">
        <f t="shared" si="53"/>
        <v>-10.547011388217134</v>
      </c>
      <c r="S317">
        <v>160</v>
      </c>
      <c r="T317">
        <v>110</v>
      </c>
      <c r="U317" s="6">
        <f t="shared" si="54"/>
        <v>-7.6150735463710069</v>
      </c>
      <c r="V317" s="7">
        <f t="shared" si="55"/>
        <v>-14.885499561284018</v>
      </c>
      <c r="W317" s="6">
        <f t="shared" si="56"/>
        <v>3.0337186712986828</v>
      </c>
      <c r="X317" s="6">
        <f t="shared" si="57"/>
        <v>4.5625487119644239</v>
      </c>
      <c r="Y317" s="5">
        <f t="shared" si="58"/>
        <v>3.6509447064303155</v>
      </c>
      <c r="Z317" s="5">
        <f t="shared" si="59"/>
        <v>-10.550322137475693</v>
      </c>
    </row>
    <row r="318" spans="10:26" x14ac:dyDescent="0.25">
      <c r="J318">
        <v>160</v>
      </c>
      <c r="K318">
        <v>120</v>
      </c>
      <c r="L318">
        <f t="shared" si="48"/>
        <v>-7.6078835869452366</v>
      </c>
      <c r="M318" s="2">
        <f t="shared" si="49"/>
        <v>-14.830685767393787</v>
      </c>
      <c r="N318">
        <f t="shared" si="50"/>
        <v>3.0322216764929584</v>
      </c>
      <c r="O318">
        <f t="shared" si="51"/>
        <v>3.9083794563868794</v>
      </c>
      <c r="P318" s="4">
        <f t="shared" si="52"/>
        <v>3.3859479758520217</v>
      </c>
      <c r="Q318" s="4">
        <f t="shared" si="53"/>
        <v>-10.523905272676279</v>
      </c>
      <c r="S318">
        <v>160</v>
      </c>
      <c r="T318">
        <v>120</v>
      </c>
      <c r="U318" s="6">
        <f t="shared" si="54"/>
        <v>-7.6150735463710069</v>
      </c>
      <c r="V318" s="7">
        <f t="shared" si="55"/>
        <v>-14.82837671260992</v>
      </c>
      <c r="W318" s="6">
        <f t="shared" si="56"/>
        <v>3.0337186712986828</v>
      </c>
      <c r="X318" s="6">
        <f t="shared" si="57"/>
        <v>3.909631563936764</v>
      </c>
      <c r="Y318" s="5">
        <f t="shared" si="58"/>
        <v>3.3873461036902248</v>
      </c>
      <c r="Z318" s="5">
        <f t="shared" si="59"/>
        <v>-10.52726024801466</v>
      </c>
    </row>
    <row r="319" spans="10:26" x14ac:dyDescent="0.25">
      <c r="J319">
        <v>160</v>
      </c>
      <c r="K319">
        <v>130</v>
      </c>
      <c r="L319">
        <f t="shared" si="48"/>
        <v>-7.6078835869452366</v>
      </c>
      <c r="M319" s="2">
        <f t="shared" si="49"/>
        <v>-14.66072756305047</v>
      </c>
      <c r="N319">
        <f t="shared" si="50"/>
        <v>3.0322216764929584</v>
      </c>
      <c r="O319">
        <f t="shared" si="51"/>
        <v>3.2740868026144456</v>
      </c>
      <c r="P319" s="4">
        <f t="shared" si="52"/>
        <v>3.1298685364196319</v>
      </c>
      <c r="Q319" s="4">
        <f t="shared" si="53"/>
        <v>-10.455288993682155</v>
      </c>
      <c r="S319">
        <v>160</v>
      </c>
      <c r="T319">
        <v>130</v>
      </c>
      <c r="U319" s="6">
        <f t="shared" si="54"/>
        <v>-7.6150735463710069</v>
      </c>
      <c r="V319" s="7">
        <f t="shared" si="55"/>
        <v>-14.658743815439033</v>
      </c>
      <c r="W319" s="6">
        <f t="shared" si="56"/>
        <v>3.0337186712986828</v>
      </c>
      <c r="X319" s="6">
        <f t="shared" si="57"/>
        <v>3.2765529730599083</v>
      </c>
      <c r="Y319" s="5">
        <f t="shared" si="58"/>
        <v>3.1317568111070635</v>
      </c>
      <c r="Z319" s="5">
        <f t="shared" si="59"/>
        <v>-10.458775303472958</v>
      </c>
    </row>
    <row r="320" spans="10:26" x14ac:dyDescent="0.25">
      <c r="J320">
        <v>160</v>
      </c>
      <c r="K320">
        <v>140</v>
      </c>
      <c r="L320">
        <f t="shared" si="48"/>
        <v>-7.6078835869452366</v>
      </c>
      <c r="M320" s="2">
        <f t="shared" si="49"/>
        <v>-14.383207642290031</v>
      </c>
      <c r="N320">
        <f t="shared" si="50"/>
        <v>3.0322216764929584</v>
      </c>
      <c r="O320">
        <f t="shared" si="51"/>
        <v>2.6789434119644233</v>
      </c>
      <c r="P320" s="4">
        <f t="shared" si="52"/>
        <v>2.8895946108852084</v>
      </c>
      <c r="Q320" s="4">
        <f t="shared" si="53"/>
        <v>-10.343247422150489</v>
      </c>
      <c r="S320">
        <v>160</v>
      </c>
      <c r="T320">
        <v>140</v>
      </c>
      <c r="U320" s="6">
        <f t="shared" si="54"/>
        <v>-7.6150735463710069</v>
      </c>
      <c r="V320" s="7">
        <f t="shared" si="55"/>
        <v>-14.381755079513507</v>
      </c>
      <c r="W320" s="6">
        <f t="shared" si="56"/>
        <v>3.0337186712986828</v>
      </c>
      <c r="X320" s="6">
        <f t="shared" si="57"/>
        <v>2.6825487119644218</v>
      </c>
      <c r="Y320" s="5">
        <f t="shared" si="58"/>
        <v>2.8919427800015467</v>
      </c>
      <c r="Z320" s="5">
        <f t="shared" si="59"/>
        <v>-10.346948184235437</v>
      </c>
    </row>
    <row r="321" spans="10:26" x14ac:dyDescent="0.25">
      <c r="J321">
        <v>160</v>
      </c>
      <c r="K321">
        <v>150</v>
      </c>
      <c r="L321">
        <f t="shared" si="48"/>
        <v>-7.6078835869452366</v>
      </c>
      <c r="M321" s="2">
        <f t="shared" si="49"/>
        <v>-14.006558307472925</v>
      </c>
      <c r="N321">
        <f t="shared" si="50"/>
        <v>3.0322216764929584</v>
      </c>
      <c r="O321">
        <f t="shared" si="51"/>
        <v>2.1410324152046307</v>
      </c>
      <c r="P321" s="4">
        <f t="shared" si="52"/>
        <v>2.6724268008916439</v>
      </c>
      <c r="Q321" s="4">
        <f t="shared" si="53"/>
        <v>-10.191184884536501</v>
      </c>
      <c r="S321">
        <v>160</v>
      </c>
      <c r="T321">
        <v>150</v>
      </c>
      <c r="U321" s="6">
        <f t="shared" si="54"/>
        <v>-7.6150735463710069</v>
      </c>
      <c r="V321" s="7">
        <f t="shared" si="55"/>
        <v>-14.005826667411375</v>
      </c>
      <c r="W321" s="6">
        <f t="shared" si="56"/>
        <v>3.0337186712986828</v>
      </c>
      <c r="X321" s="6">
        <f t="shared" si="57"/>
        <v>2.1456672995430344</v>
      </c>
      <c r="Y321" s="5">
        <f t="shared" si="58"/>
        <v>2.6751906383570621</v>
      </c>
      <c r="Z321" s="5">
        <f t="shared" si="59"/>
        <v>-10.195176700732869</v>
      </c>
    </row>
    <row r="322" spans="10:26" x14ac:dyDescent="0.25">
      <c r="J322">
        <v>160</v>
      </c>
      <c r="K322">
        <v>160</v>
      </c>
      <c r="L322">
        <f t="shared" si="48"/>
        <v>-7.6078835869452366</v>
      </c>
      <c r="M322" s="2">
        <f t="shared" si="49"/>
        <v>-13.542223858043808</v>
      </c>
      <c r="N322">
        <f t="shared" si="50"/>
        <v>3.0322216764929584</v>
      </c>
      <c r="O322">
        <f t="shared" si="51"/>
        <v>1.6766979657755137</v>
      </c>
      <c r="P322" s="4">
        <f t="shared" si="52"/>
        <v>2.484963640453377</v>
      </c>
      <c r="Q322" s="4">
        <f t="shared" si="53"/>
        <v>-10.003721724098234</v>
      </c>
      <c r="S322">
        <v>160</v>
      </c>
      <c r="T322">
        <v>160</v>
      </c>
      <c r="U322" s="6">
        <f t="shared" si="54"/>
        <v>-7.6150735463710069</v>
      </c>
      <c r="V322" s="7">
        <f t="shared" si="55"/>
        <v>-13.542380973705406</v>
      </c>
      <c r="W322" s="6">
        <f t="shared" si="56"/>
        <v>3.0337186712986828</v>
      </c>
      <c r="X322" s="6">
        <f t="shared" si="57"/>
        <v>1.6822216058370647</v>
      </c>
      <c r="Y322" s="5">
        <f t="shared" si="58"/>
        <v>2.4880862903156005</v>
      </c>
      <c r="Z322" s="5">
        <f t="shared" si="59"/>
        <v>-10.008072352691407</v>
      </c>
    </row>
    <row r="323" spans="10:26" x14ac:dyDescent="0.25">
      <c r="J323">
        <v>160</v>
      </c>
      <c r="K323">
        <v>170</v>
      </c>
      <c r="L323">
        <f t="shared" ref="L323:L362" si="60">0.723077+8.86562308*COS(J323*PI()/180)</f>
        <v>-7.6078835869452366</v>
      </c>
      <c r="M323" s="2">
        <f t="shared" ref="M323:M362" si="61">1.414792+(13.34*COS(J323*PI()/180))+((17.1072106-13.34)*COS(((K323+J323-90)*PI()/180)))</f>
        <v>-13.004312861284017</v>
      </c>
      <c r="N323">
        <f t="shared" ref="N323:N362" si="62">8.86562308*SIN(J323*PI()/180)</f>
        <v>3.0322216764929584</v>
      </c>
      <c r="O323">
        <f t="shared" ref="O323:O362" si="63">(13.34*SIN(J323*PI()/180))+((17.1072106-13.34)*SIN((K323+J323-90)*PI()/180))</f>
        <v>1.3000486309584081</v>
      </c>
      <c r="P323" s="4">
        <f t="shared" ref="P323:P362" si="64">((130*N323)+(88.02*O323))/(130+88.02)</f>
        <v>2.3329011028393896</v>
      </c>
      <c r="Q323" s="4">
        <f t="shared" ref="Q323:Q362" si="65">((130*L323)+(88.02*M323))/(130+88.02)</f>
        <v>-9.7865539141046689</v>
      </c>
      <c r="S323">
        <v>160</v>
      </c>
      <c r="T323">
        <v>170</v>
      </c>
      <c r="U323" s="6">
        <f t="shared" ref="U323:U362" si="66">0.72+8.87*COS(S323*PI()/180)</f>
        <v>-7.6150735463710069</v>
      </c>
      <c r="V323" s="7">
        <f t="shared" ref="V323:V362" si="67">1.41+(13.34*COS(S323*PI()/180))+((17.1-13.34)*COS(((T323+S323-90)*PI()/180)))</f>
        <v>-13.005499561284019</v>
      </c>
      <c r="W323" s="6">
        <f t="shared" ref="W323:W362" si="68">8.87*SIN(S323*PI()/180)</f>
        <v>3.0337186712986828</v>
      </c>
      <c r="X323" s="6">
        <f t="shared" ref="X323:X362" si="69">(13.34*SIN(S323*PI()/180))+((17.1-13.34)*SIN((T323+S323-90)*PI()/180))</f>
        <v>1.3062931937349336</v>
      </c>
      <c r="Y323" s="5">
        <f t="shared" ref="Y323:Y362" si="70">((130*W323)+(88.02*X323))/(130+88.02)</f>
        <v>2.3363148068130339</v>
      </c>
      <c r="Z323" s="5">
        <f t="shared" ref="Z323:Z362" si="71">((130*U323)+(88.02*V323))/(130+88.02)</f>
        <v>-9.7913202110469229</v>
      </c>
    </row>
    <row r="324" spans="10:26" x14ac:dyDescent="0.25">
      <c r="J324">
        <v>160</v>
      </c>
      <c r="K324">
        <v>180</v>
      </c>
      <c r="L324">
        <f t="shared" si="60"/>
        <v>-7.6078835869452366</v>
      </c>
      <c r="M324" s="2">
        <f t="shared" si="61"/>
        <v>-12.409169470633996</v>
      </c>
      <c r="N324">
        <f t="shared" si="62"/>
        <v>3.0322216764929584</v>
      </c>
      <c r="O324">
        <f t="shared" si="63"/>
        <v>1.0225287101979705</v>
      </c>
      <c r="P324" s="4">
        <f t="shared" si="64"/>
        <v>2.220859531307724</v>
      </c>
      <c r="Q324" s="4">
        <f t="shared" si="65"/>
        <v>-9.5462799885702481</v>
      </c>
      <c r="S324">
        <v>160</v>
      </c>
      <c r="T324">
        <v>180</v>
      </c>
      <c r="U324" s="6">
        <f t="shared" si="66"/>
        <v>-7.6150735463710069</v>
      </c>
      <c r="V324" s="7">
        <f t="shared" si="67"/>
        <v>-12.411495300188534</v>
      </c>
      <c r="W324" s="6">
        <f t="shared" si="68"/>
        <v>3.0337186712986828</v>
      </c>
      <c r="X324" s="6">
        <f t="shared" si="69"/>
        <v>1.0293044578094066</v>
      </c>
      <c r="Y324" s="5">
        <f t="shared" si="70"/>
        <v>2.2244876875755106</v>
      </c>
      <c r="Z324" s="5">
        <f t="shared" si="71"/>
        <v>-9.5515061799414074</v>
      </c>
    </row>
    <row r="325" spans="10:26" x14ac:dyDescent="0.25">
      <c r="J325">
        <v>170</v>
      </c>
      <c r="K325">
        <v>0</v>
      </c>
      <c r="L325">
        <f t="shared" si="60"/>
        <v>-8.0078573444679719</v>
      </c>
      <c r="M325" s="2">
        <f t="shared" si="61"/>
        <v>-11.068374169605312</v>
      </c>
      <c r="N325">
        <f t="shared" si="62"/>
        <v>1.5394992917238777</v>
      </c>
      <c r="O325">
        <f t="shared" si="63"/>
        <v>6.0264448961866206</v>
      </c>
      <c r="P325" s="4">
        <f t="shared" si="64"/>
        <v>3.3509888436219173</v>
      </c>
      <c r="Q325" s="4">
        <f t="shared" si="65"/>
        <v>-9.2434627519929187</v>
      </c>
      <c r="S325">
        <v>170</v>
      </c>
      <c r="T325">
        <v>0</v>
      </c>
      <c r="U325" s="6">
        <f t="shared" si="66"/>
        <v>-8.0152447692182829</v>
      </c>
      <c r="V325" s="7">
        <f t="shared" si="67"/>
        <v>-11.074418277155196</v>
      </c>
      <c r="W325" s="6">
        <f t="shared" si="68"/>
        <v>1.5402593359056713</v>
      </c>
      <c r="X325" s="6">
        <f t="shared" si="69"/>
        <v>6.0193438414027538</v>
      </c>
      <c r="Y325" s="5">
        <f t="shared" si="70"/>
        <v>3.3485751701128694</v>
      </c>
      <c r="Z325" s="5">
        <f t="shared" si="71"/>
        <v>-9.2503078467735858</v>
      </c>
    </row>
    <row r="326" spans="10:26" x14ac:dyDescent="0.25">
      <c r="J326">
        <v>170</v>
      </c>
      <c r="K326">
        <v>10</v>
      </c>
      <c r="L326">
        <f t="shared" si="60"/>
        <v>-8.0078573444679719</v>
      </c>
      <c r="M326" s="2">
        <f t="shared" si="61"/>
        <v>-11.722543425182854</v>
      </c>
      <c r="N326">
        <f t="shared" si="62"/>
        <v>1.5394992917238777</v>
      </c>
      <c r="O326">
        <f t="shared" si="63"/>
        <v>6.0836772900768485</v>
      </c>
      <c r="P326" s="4">
        <f t="shared" si="64"/>
        <v>3.3740949591627758</v>
      </c>
      <c r="Q326" s="4">
        <f t="shared" si="65"/>
        <v>-9.5075668611385726</v>
      </c>
      <c r="S326">
        <v>170</v>
      </c>
      <c r="T326">
        <v>10</v>
      </c>
      <c r="U326" s="6">
        <f t="shared" si="66"/>
        <v>-8.0152447692182829</v>
      </c>
      <c r="V326" s="7">
        <f t="shared" si="67"/>
        <v>-11.727335425182854</v>
      </c>
      <c r="W326" s="6">
        <f t="shared" si="68"/>
        <v>1.5402593359056713</v>
      </c>
      <c r="X326" s="6">
        <f t="shared" si="69"/>
        <v>6.0764666900768516</v>
      </c>
      <c r="Y326" s="5">
        <f t="shared" si="70"/>
        <v>3.3716370595739011</v>
      </c>
      <c r="Z326" s="5">
        <f t="shared" si="71"/>
        <v>-9.5139064495136765</v>
      </c>
    </row>
    <row r="327" spans="10:26" x14ac:dyDescent="0.25">
      <c r="J327">
        <v>170</v>
      </c>
      <c r="K327">
        <v>20</v>
      </c>
      <c r="L327">
        <f t="shared" si="60"/>
        <v>-8.0078573444679719</v>
      </c>
      <c r="M327" s="2">
        <f t="shared" si="61"/>
        <v>-12.376712680760397</v>
      </c>
      <c r="N327">
        <f t="shared" si="62"/>
        <v>1.5394992917238777</v>
      </c>
      <c r="O327">
        <f t="shared" si="63"/>
        <v>6.0264448961866206</v>
      </c>
      <c r="P327" s="4">
        <f t="shared" si="64"/>
        <v>3.3509888436219173</v>
      </c>
      <c r="Q327" s="4">
        <f t="shared" si="65"/>
        <v>-9.7716709702842248</v>
      </c>
      <c r="S327">
        <v>170</v>
      </c>
      <c r="T327">
        <v>20</v>
      </c>
      <c r="U327" s="6">
        <f t="shared" si="66"/>
        <v>-8.0152447692182829</v>
      </c>
      <c r="V327" s="7">
        <f t="shared" si="67"/>
        <v>-12.380252573210512</v>
      </c>
      <c r="W327" s="6">
        <f t="shared" si="68"/>
        <v>1.5402593359056713</v>
      </c>
      <c r="X327" s="6">
        <f t="shared" si="69"/>
        <v>6.0193438414027538</v>
      </c>
      <c r="Y327" s="5">
        <f t="shared" si="70"/>
        <v>3.3485751701128694</v>
      </c>
      <c r="Z327" s="5">
        <f t="shared" si="71"/>
        <v>-9.7775050522537672</v>
      </c>
    </row>
    <row r="328" spans="10:26" x14ac:dyDescent="0.25">
      <c r="J328">
        <v>170</v>
      </c>
      <c r="K328">
        <v>30</v>
      </c>
      <c r="L328">
        <f t="shared" si="60"/>
        <v>-8.0078573444679719</v>
      </c>
      <c r="M328" s="2">
        <f t="shared" si="61"/>
        <v>-13.011005334532832</v>
      </c>
      <c r="N328">
        <f t="shared" si="62"/>
        <v>1.5394992917238777</v>
      </c>
      <c r="O328">
        <f t="shared" si="63"/>
        <v>5.8564866918433029</v>
      </c>
      <c r="P328" s="4">
        <f t="shared" si="64"/>
        <v>3.2823725646277939</v>
      </c>
      <c r="Q328" s="4">
        <f t="shared" si="65"/>
        <v>-10.027750409716615</v>
      </c>
      <c r="S328">
        <v>170</v>
      </c>
      <c r="T328">
        <v>30</v>
      </c>
      <c r="U328" s="6">
        <f t="shared" si="66"/>
        <v>-8.0152447692182829</v>
      </c>
      <c r="V328" s="7">
        <f t="shared" si="67"/>
        <v>-13.013331164087369</v>
      </c>
      <c r="W328" s="6">
        <f t="shared" si="68"/>
        <v>1.5402593359056713</v>
      </c>
      <c r="X328" s="6">
        <f t="shared" si="69"/>
        <v>5.8497109442318678</v>
      </c>
      <c r="Y328" s="5">
        <f t="shared" si="70"/>
        <v>3.2800902255711692</v>
      </c>
      <c r="Z328" s="5">
        <f t="shared" si="71"/>
        <v>-10.033094344836929</v>
      </c>
    </row>
    <row r="329" spans="10:26" x14ac:dyDescent="0.25">
      <c r="J329">
        <v>170</v>
      </c>
      <c r="K329">
        <v>40</v>
      </c>
      <c r="L329">
        <f t="shared" si="60"/>
        <v>-8.0078573444679719</v>
      </c>
      <c r="M329" s="2">
        <f t="shared" si="61"/>
        <v>-13.606148725182852</v>
      </c>
      <c r="N329">
        <f t="shared" si="62"/>
        <v>1.5394992917238777</v>
      </c>
      <c r="O329">
        <f t="shared" si="63"/>
        <v>5.5789667710828663</v>
      </c>
      <c r="P329" s="4">
        <f t="shared" si="64"/>
        <v>3.1703309930961292</v>
      </c>
      <c r="Q329" s="4">
        <f t="shared" si="65"/>
        <v>-10.268024335251038</v>
      </c>
      <c r="S329">
        <v>170</v>
      </c>
      <c r="T329">
        <v>40</v>
      </c>
      <c r="U329" s="6">
        <f t="shared" si="66"/>
        <v>-8.0152447692182829</v>
      </c>
      <c r="V329" s="7">
        <f t="shared" si="67"/>
        <v>-13.607335425182853</v>
      </c>
      <c r="W329" s="6">
        <f t="shared" si="68"/>
        <v>1.5402593359056713</v>
      </c>
      <c r="X329" s="6">
        <f t="shared" si="69"/>
        <v>5.5727222083063408</v>
      </c>
      <c r="Y329" s="5">
        <f t="shared" si="70"/>
        <v>3.1682631063336455</v>
      </c>
      <c r="Z329" s="5">
        <f t="shared" si="71"/>
        <v>-10.272908375942444</v>
      </c>
    </row>
    <row r="330" spans="10:26" x14ac:dyDescent="0.25">
      <c r="J330">
        <v>170</v>
      </c>
      <c r="K330">
        <v>50</v>
      </c>
      <c r="L330">
        <f t="shared" si="60"/>
        <v>-8.0078573444679719</v>
      </c>
      <c r="M330" s="2">
        <f t="shared" si="61"/>
        <v>-14.144059721942646</v>
      </c>
      <c r="N330">
        <f t="shared" si="62"/>
        <v>1.5394992917238777</v>
      </c>
      <c r="O330">
        <f t="shared" si="63"/>
        <v>5.2023174362657603</v>
      </c>
      <c r="P330" s="4">
        <f t="shared" si="64"/>
        <v>3.0182684554821404</v>
      </c>
      <c r="Q330" s="4">
        <f t="shared" si="65"/>
        <v>-10.485192145244604</v>
      </c>
      <c r="S330">
        <v>170</v>
      </c>
      <c r="T330">
        <v>50</v>
      </c>
      <c r="U330" s="6">
        <f t="shared" si="66"/>
        <v>-8.0152447692182829</v>
      </c>
      <c r="V330" s="7">
        <f t="shared" si="67"/>
        <v>-14.144216837604244</v>
      </c>
      <c r="W330" s="6">
        <f t="shared" si="68"/>
        <v>1.5402593359056713</v>
      </c>
      <c r="X330" s="6">
        <f t="shared" si="69"/>
        <v>5.1967937962042079</v>
      </c>
      <c r="Y330" s="5">
        <f t="shared" si="70"/>
        <v>3.0164916228310785</v>
      </c>
      <c r="Z330" s="5">
        <f t="shared" si="71"/>
        <v>-10.489660517586929</v>
      </c>
    </row>
    <row r="331" spans="10:26" x14ac:dyDescent="0.25">
      <c r="J331">
        <v>170</v>
      </c>
      <c r="K331">
        <v>60</v>
      </c>
      <c r="L331">
        <f t="shared" si="60"/>
        <v>-8.0078573444679719</v>
      </c>
      <c r="M331" s="2">
        <f t="shared" si="61"/>
        <v>-14.608394171371764</v>
      </c>
      <c r="N331">
        <f t="shared" si="62"/>
        <v>1.5394992917238777</v>
      </c>
      <c r="O331">
        <f t="shared" si="63"/>
        <v>4.7379829868366432</v>
      </c>
      <c r="P331" s="4">
        <f t="shared" si="64"/>
        <v>2.8308052950438745</v>
      </c>
      <c r="Q331" s="4">
        <f t="shared" si="65"/>
        <v>-10.672655305682868</v>
      </c>
      <c r="S331">
        <v>170</v>
      </c>
      <c r="T331">
        <v>60</v>
      </c>
      <c r="U331" s="6">
        <f t="shared" si="66"/>
        <v>-8.0152447692182829</v>
      </c>
      <c r="V331" s="7">
        <f t="shared" si="67"/>
        <v>-14.607662531310213</v>
      </c>
      <c r="W331" s="6">
        <f t="shared" si="68"/>
        <v>1.5402593359056713</v>
      </c>
      <c r="X331" s="6">
        <f t="shared" si="69"/>
        <v>4.7333481024982396</v>
      </c>
      <c r="Y331" s="5">
        <f t="shared" si="70"/>
        <v>2.8293872747896174</v>
      </c>
      <c r="Z331" s="5">
        <f t="shared" si="71"/>
        <v>-10.676764865628391</v>
      </c>
    </row>
    <row r="332" spans="10:26" x14ac:dyDescent="0.25">
      <c r="J332">
        <v>170</v>
      </c>
      <c r="K332">
        <v>70</v>
      </c>
      <c r="L332">
        <f t="shared" si="60"/>
        <v>-8.0078573444679719</v>
      </c>
      <c r="M332" s="2">
        <f t="shared" si="61"/>
        <v>-14.98504350618887</v>
      </c>
      <c r="N332">
        <f t="shared" si="62"/>
        <v>1.5394992917238777</v>
      </c>
      <c r="O332">
        <f t="shared" si="63"/>
        <v>4.2000719900768493</v>
      </c>
      <c r="P332" s="4">
        <f t="shared" si="64"/>
        <v>2.6136374850503095</v>
      </c>
      <c r="Q332" s="4">
        <f t="shared" si="65"/>
        <v>-10.824717843296858</v>
      </c>
      <c r="S332">
        <v>170</v>
      </c>
      <c r="T332">
        <v>70</v>
      </c>
      <c r="U332" s="6">
        <f t="shared" si="66"/>
        <v>-8.0152447692182829</v>
      </c>
      <c r="V332" s="7">
        <f t="shared" si="67"/>
        <v>-14.983590943412345</v>
      </c>
      <c r="W332" s="6">
        <f t="shared" si="68"/>
        <v>1.5402593359056713</v>
      </c>
      <c r="X332" s="6">
        <f t="shared" si="69"/>
        <v>4.1964666900768508</v>
      </c>
      <c r="Y332" s="5">
        <f t="shared" si="70"/>
        <v>2.6126351331451323</v>
      </c>
      <c r="Z332" s="5">
        <f t="shared" si="71"/>
        <v>-10.828536349130959</v>
      </c>
    </row>
    <row r="333" spans="10:26" x14ac:dyDescent="0.25">
      <c r="J333">
        <v>170</v>
      </c>
      <c r="K333">
        <v>80</v>
      </c>
      <c r="L333">
        <f t="shared" si="60"/>
        <v>-8.0078573444679719</v>
      </c>
      <c r="M333" s="2">
        <f t="shared" si="61"/>
        <v>-15.262563426949306</v>
      </c>
      <c r="N333">
        <f t="shared" si="62"/>
        <v>1.5394992917238777</v>
      </c>
      <c r="O333">
        <f t="shared" si="63"/>
        <v>3.6049285994268283</v>
      </c>
      <c r="P333" s="4">
        <f t="shared" si="64"/>
        <v>2.3733635595158864</v>
      </c>
      <c r="Q333" s="4">
        <f t="shared" si="65"/>
        <v>-10.936759414828524</v>
      </c>
      <c r="S333">
        <v>170</v>
      </c>
      <c r="T333">
        <v>80</v>
      </c>
      <c r="U333" s="6">
        <f t="shared" si="66"/>
        <v>-8.0152447692182829</v>
      </c>
      <c r="V333" s="7">
        <f t="shared" si="67"/>
        <v>-15.260579679337871</v>
      </c>
      <c r="W333" s="6">
        <f t="shared" si="68"/>
        <v>1.5402593359056713</v>
      </c>
      <c r="X333" s="6">
        <f t="shared" si="69"/>
        <v>3.6024624289813656</v>
      </c>
      <c r="Y333" s="5">
        <f t="shared" si="70"/>
        <v>2.3728211020396159</v>
      </c>
      <c r="Z333" s="5">
        <f t="shared" si="71"/>
        <v>-10.940363468368481</v>
      </c>
    </row>
    <row r="334" spans="10:26" x14ac:dyDescent="0.25">
      <c r="J334">
        <v>170</v>
      </c>
      <c r="K334">
        <v>90</v>
      </c>
      <c r="L334">
        <f t="shared" si="60"/>
        <v>-8.0078573444679719</v>
      </c>
      <c r="M334" s="2">
        <f t="shared" si="61"/>
        <v>-15.432521631292625</v>
      </c>
      <c r="N334">
        <f t="shared" si="62"/>
        <v>1.5394992917238777</v>
      </c>
      <c r="O334">
        <f t="shared" si="63"/>
        <v>2.9706359456543927</v>
      </c>
      <c r="P334" s="4">
        <f t="shared" si="64"/>
        <v>2.1172841200834958</v>
      </c>
      <c r="Q334" s="4">
        <f t="shared" si="65"/>
        <v>-11.005375693822646</v>
      </c>
      <c r="S334">
        <v>170</v>
      </c>
      <c r="T334">
        <v>90</v>
      </c>
      <c r="U334" s="6">
        <f t="shared" si="66"/>
        <v>-8.0152447692182829</v>
      </c>
      <c r="V334" s="7">
        <f t="shared" si="67"/>
        <v>-15.430212576508758</v>
      </c>
      <c r="W334" s="6">
        <f t="shared" si="68"/>
        <v>1.5402593359056713</v>
      </c>
      <c r="X334" s="6">
        <f t="shared" si="69"/>
        <v>2.9693838381045081</v>
      </c>
      <c r="Y334" s="5">
        <f t="shared" si="70"/>
        <v>2.1172318094564542</v>
      </c>
      <c r="Z334" s="5">
        <f t="shared" si="71"/>
        <v>-11.008848412910183</v>
      </c>
    </row>
    <row r="335" spans="10:26" x14ac:dyDescent="0.25">
      <c r="J335">
        <v>170</v>
      </c>
      <c r="K335">
        <v>100</v>
      </c>
      <c r="L335">
        <f t="shared" si="60"/>
        <v>-8.0078573444679719</v>
      </c>
      <c r="M335" s="2">
        <f t="shared" si="61"/>
        <v>-15.489754025182853</v>
      </c>
      <c r="N335">
        <f t="shared" si="62"/>
        <v>1.5394992917238777</v>
      </c>
      <c r="O335">
        <f t="shared" si="63"/>
        <v>2.3164666900768505</v>
      </c>
      <c r="P335" s="4">
        <f t="shared" si="64"/>
        <v>1.8531800109378427</v>
      </c>
      <c r="Q335" s="4">
        <f t="shared" si="65"/>
        <v>-11.028481809363505</v>
      </c>
      <c r="S335">
        <v>170</v>
      </c>
      <c r="T335">
        <v>100</v>
      </c>
      <c r="U335" s="6">
        <f t="shared" si="66"/>
        <v>-8.0152447692182829</v>
      </c>
      <c r="V335" s="7">
        <f t="shared" si="67"/>
        <v>-15.487335425182856</v>
      </c>
      <c r="W335" s="6">
        <f t="shared" si="68"/>
        <v>1.5402593359056713</v>
      </c>
      <c r="X335" s="6">
        <f t="shared" si="69"/>
        <v>2.3164666900768505</v>
      </c>
      <c r="Y335" s="5">
        <f t="shared" si="70"/>
        <v>1.8536332067163639</v>
      </c>
      <c r="Z335" s="5">
        <f t="shared" si="71"/>
        <v>-11.031910302371214</v>
      </c>
    </row>
    <row r="336" spans="10:26" x14ac:dyDescent="0.25">
      <c r="J336">
        <v>170</v>
      </c>
      <c r="K336">
        <v>110</v>
      </c>
      <c r="L336">
        <f t="shared" si="60"/>
        <v>-8.0078573444679719</v>
      </c>
      <c r="M336" s="2">
        <f t="shared" si="61"/>
        <v>-15.432521631292625</v>
      </c>
      <c r="N336">
        <f t="shared" si="62"/>
        <v>1.5394992917238777</v>
      </c>
      <c r="O336">
        <f t="shared" si="63"/>
        <v>1.6622974344993064</v>
      </c>
      <c r="P336" s="4">
        <f t="shared" si="64"/>
        <v>1.5890759017921892</v>
      </c>
      <c r="Q336" s="4">
        <f t="shared" si="65"/>
        <v>-11.005375693822646</v>
      </c>
      <c r="S336">
        <v>170</v>
      </c>
      <c r="T336">
        <v>110</v>
      </c>
      <c r="U336" s="6">
        <f t="shared" si="66"/>
        <v>-8.0152447692182829</v>
      </c>
      <c r="V336" s="7">
        <f t="shared" si="67"/>
        <v>-15.430212576508758</v>
      </c>
      <c r="W336" s="6">
        <f t="shared" si="68"/>
        <v>1.5402593359056713</v>
      </c>
      <c r="X336" s="6">
        <f t="shared" si="69"/>
        <v>1.663549542049191</v>
      </c>
      <c r="Y336" s="5">
        <f t="shared" si="70"/>
        <v>1.5900346039762734</v>
      </c>
      <c r="Z336" s="5">
        <f t="shared" si="71"/>
        <v>-11.008848412910183</v>
      </c>
    </row>
    <row r="337" spans="10:26" x14ac:dyDescent="0.25">
      <c r="J337">
        <v>170</v>
      </c>
      <c r="K337">
        <v>120</v>
      </c>
      <c r="L337">
        <f t="shared" si="60"/>
        <v>-8.0078573444679719</v>
      </c>
      <c r="M337" s="2">
        <f t="shared" si="61"/>
        <v>-15.262563426949308</v>
      </c>
      <c r="N337">
        <f t="shared" si="62"/>
        <v>1.5394992917238777</v>
      </c>
      <c r="O337">
        <f t="shared" si="63"/>
        <v>1.0280047807268724</v>
      </c>
      <c r="P337" s="4">
        <f t="shared" si="64"/>
        <v>1.3329964623597992</v>
      </c>
      <c r="Q337" s="4">
        <f t="shared" si="65"/>
        <v>-10.936759414828524</v>
      </c>
      <c r="S337">
        <v>170</v>
      </c>
      <c r="T337">
        <v>120</v>
      </c>
      <c r="U337" s="6">
        <f t="shared" si="66"/>
        <v>-8.0152447692182829</v>
      </c>
      <c r="V337" s="7">
        <f t="shared" si="67"/>
        <v>-15.260579679337871</v>
      </c>
      <c r="W337" s="6">
        <f t="shared" si="68"/>
        <v>1.5402593359056713</v>
      </c>
      <c r="X337" s="6">
        <f t="shared" si="69"/>
        <v>1.0304709511723353</v>
      </c>
      <c r="Y337" s="5">
        <f t="shared" si="70"/>
        <v>1.3344453113931118</v>
      </c>
      <c r="Z337" s="5">
        <f t="shared" si="71"/>
        <v>-10.940363468368481</v>
      </c>
    </row>
    <row r="338" spans="10:26" x14ac:dyDescent="0.25">
      <c r="J338">
        <v>170</v>
      </c>
      <c r="K338">
        <v>130</v>
      </c>
      <c r="L338">
        <f t="shared" si="60"/>
        <v>-8.0078573444679719</v>
      </c>
      <c r="M338" s="2">
        <f t="shared" si="61"/>
        <v>-14.98504350618887</v>
      </c>
      <c r="N338">
        <f t="shared" si="62"/>
        <v>1.5394992917238777</v>
      </c>
      <c r="O338">
        <f t="shared" si="63"/>
        <v>0.43286139007685032</v>
      </c>
      <c r="P338" s="4">
        <f t="shared" si="64"/>
        <v>1.0927225368253759</v>
      </c>
      <c r="Q338" s="4">
        <f t="shared" si="65"/>
        <v>-10.824717843296858</v>
      </c>
      <c r="S338">
        <v>170</v>
      </c>
      <c r="T338">
        <v>130</v>
      </c>
      <c r="U338" s="6">
        <f t="shared" si="66"/>
        <v>-8.0152447692182829</v>
      </c>
      <c r="V338" s="7">
        <f t="shared" si="67"/>
        <v>-14.983590943412345</v>
      </c>
      <c r="W338" s="6">
        <f t="shared" si="68"/>
        <v>1.5402593359056713</v>
      </c>
      <c r="X338" s="6">
        <f t="shared" si="69"/>
        <v>0.4364666900768488</v>
      </c>
      <c r="Y338" s="5">
        <f t="shared" si="70"/>
        <v>1.0946312802875953</v>
      </c>
      <c r="Z338" s="5">
        <f t="shared" si="71"/>
        <v>-10.828536349130959</v>
      </c>
    </row>
    <row r="339" spans="10:26" x14ac:dyDescent="0.25">
      <c r="J339">
        <v>170</v>
      </c>
      <c r="K339">
        <v>140</v>
      </c>
      <c r="L339">
        <f t="shared" si="60"/>
        <v>-8.0078573444679719</v>
      </c>
      <c r="M339" s="2">
        <f t="shared" si="61"/>
        <v>-14.608394171371764</v>
      </c>
      <c r="N339">
        <f t="shared" si="62"/>
        <v>1.5394992917238777</v>
      </c>
      <c r="O339">
        <f t="shared" si="63"/>
        <v>-0.10504960668294228</v>
      </c>
      <c r="P339" s="4">
        <f t="shared" si="64"/>
        <v>0.87555472683181135</v>
      </c>
      <c r="Q339" s="4">
        <f t="shared" si="65"/>
        <v>-10.672655305682868</v>
      </c>
      <c r="S339">
        <v>170</v>
      </c>
      <c r="T339">
        <v>140</v>
      </c>
      <c r="U339" s="6">
        <f t="shared" si="66"/>
        <v>-8.0152447692182829</v>
      </c>
      <c r="V339" s="7">
        <f t="shared" si="67"/>
        <v>-14.607662531310213</v>
      </c>
      <c r="W339" s="6">
        <f t="shared" si="68"/>
        <v>1.5402593359056713</v>
      </c>
      <c r="X339" s="6">
        <f t="shared" si="69"/>
        <v>-0.10041472234453863</v>
      </c>
      <c r="Y339" s="5">
        <f t="shared" si="70"/>
        <v>0.87787913864311073</v>
      </c>
      <c r="Z339" s="5">
        <f t="shared" si="71"/>
        <v>-10.676764865628391</v>
      </c>
    </row>
    <row r="340" spans="10:26" x14ac:dyDescent="0.25">
      <c r="J340">
        <v>170</v>
      </c>
      <c r="K340">
        <v>150</v>
      </c>
      <c r="L340">
        <f t="shared" si="60"/>
        <v>-8.0078573444679719</v>
      </c>
      <c r="M340" s="2">
        <f t="shared" si="61"/>
        <v>-14.144059721942646</v>
      </c>
      <c r="N340">
        <f t="shared" si="62"/>
        <v>1.5394992917238777</v>
      </c>
      <c r="O340">
        <f t="shared" si="63"/>
        <v>-0.56938405611205933</v>
      </c>
      <c r="P340" s="4">
        <f t="shared" si="64"/>
        <v>0.68809156639354485</v>
      </c>
      <c r="Q340" s="4">
        <f t="shared" si="65"/>
        <v>-10.485192145244604</v>
      </c>
      <c r="S340">
        <v>170</v>
      </c>
      <c r="T340">
        <v>150</v>
      </c>
      <c r="U340" s="6">
        <f t="shared" si="66"/>
        <v>-8.0152447692182829</v>
      </c>
      <c r="V340" s="7">
        <f t="shared" si="67"/>
        <v>-14.144216837604244</v>
      </c>
      <c r="W340" s="6">
        <f t="shared" si="68"/>
        <v>1.5402593359056713</v>
      </c>
      <c r="X340" s="6">
        <f t="shared" si="69"/>
        <v>-0.5638604160505083</v>
      </c>
      <c r="Y340" s="5">
        <f t="shared" si="70"/>
        <v>0.69077479060164915</v>
      </c>
      <c r="Z340" s="5">
        <f t="shared" si="71"/>
        <v>-10.489660517586929</v>
      </c>
    </row>
    <row r="341" spans="10:26" x14ac:dyDescent="0.25">
      <c r="J341">
        <v>170</v>
      </c>
      <c r="K341">
        <v>160</v>
      </c>
      <c r="L341">
        <f t="shared" si="60"/>
        <v>-8.0078573444679719</v>
      </c>
      <c r="M341" s="2">
        <f t="shared" si="61"/>
        <v>-13.606148725182855</v>
      </c>
      <c r="N341">
        <f t="shared" si="62"/>
        <v>1.5394992917238777</v>
      </c>
      <c r="O341">
        <f t="shared" si="63"/>
        <v>-0.94603339092916494</v>
      </c>
      <c r="P341" s="4">
        <f t="shared" si="64"/>
        <v>0.53602902877955694</v>
      </c>
      <c r="Q341" s="4">
        <f t="shared" si="65"/>
        <v>-10.26802433525104</v>
      </c>
      <c r="S341">
        <v>170</v>
      </c>
      <c r="T341">
        <v>160</v>
      </c>
      <c r="U341" s="6">
        <f t="shared" si="66"/>
        <v>-8.0152447692182829</v>
      </c>
      <c r="V341" s="7">
        <f t="shared" si="67"/>
        <v>-13.607335425182857</v>
      </c>
      <c r="W341" s="6">
        <f t="shared" si="68"/>
        <v>1.5402593359056713</v>
      </c>
      <c r="X341" s="6">
        <f t="shared" si="69"/>
        <v>-0.93978882815263942</v>
      </c>
      <c r="Y341" s="5">
        <f t="shared" si="70"/>
        <v>0.53900330709908251</v>
      </c>
      <c r="Z341" s="5">
        <f t="shared" si="71"/>
        <v>-10.272908375942444</v>
      </c>
    </row>
    <row r="342" spans="10:26" x14ac:dyDescent="0.25">
      <c r="J342">
        <v>170</v>
      </c>
      <c r="K342">
        <v>170</v>
      </c>
      <c r="L342">
        <f t="shared" si="60"/>
        <v>-8.0078573444679719</v>
      </c>
      <c r="M342" s="2">
        <f t="shared" si="61"/>
        <v>-13.011005334532834</v>
      </c>
      <c r="N342">
        <f t="shared" si="62"/>
        <v>1.5394992917238777</v>
      </c>
      <c r="O342">
        <f t="shared" si="63"/>
        <v>-1.2235533116896025</v>
      </c>
      <c r="P342" s="4">
        <f t="shared" si="64"/>
        <v>0.42398745724789144</v>
      </c>
      <c r="Q342" s="4">
        <f t="shared" si="65"/>
        <v>-10.027750409716615</v>
      </c>
      <c r="S342">
        <v>170</v>
      </c>
      <c r="T342">
        <v>170</v>
      </c>
      <c r="U342" s="6">
        <f t="shared" si="66"/>
        <v>-8.0152447692182829</v>
      </c>
      <c r="V342" s="7">
        <f t="shared" si="67"/>
        <v>-13.013331164087372</v>
      </c>
      <c r="W342" s="6">
        <f t="shared" si="68"/>
        <v>1.5402593359056713</v>
      </c>
      <c r="X342" s="6">
        <f t="shared" si="69"/>
        <v>-1.2167775640781664</v>
      </c>
      <c r="Y342" s="5">
        <f t="shared" si="70"/>
        <v>0.42717618786155898</v>
      </c>
      <c r="Z342" s="5">
        <f t="shared" si="71"/>
        <v>-10.033094344836931</v>
      </c>
    </row>
    <row r="343" spans="10:26" x14ac:dyDescent="0.25">
      <c r="J343">
        <v>170</v>
      </c>
      <c r="K343">
        <v>180</v>
      </c>
      <c r="L343">
        <f t="shared" si="60"/>
        <v>-8.0078573444679719</v>
      </c>
      <c r="M343" s="2">
        <f t="shared" si="61"/>
        <v>-12.376712680760397</v>
      </c>
      <c r="N343">
        <f t="shared" si="62"/>
        <v>1.5394992917238777</v>
      </c>
      <c r="O343">
        <f t="shared" si="63"/>
        <v>-1.3935115160329206</v>
      </c>
      <c r="P343" s="4">
        <f t="shared" si="64"/>
        <v>0.35537117825376768</v>
      </c>
      <c r="Q343" s="4">
        <f t="shared" si="65"/>
        <v>-9.7716709702842248</v>
      </c>
      <c r="S343">
        <v>170</v>
      </c>
      <c r="T343">
        <v>180</v>
      </c>
      <c r="U343" s="6">
        <f t="shared" si="66"/>
        <v>-8.0152447692182829</v>
      </c>
      <c r="V343" s="7">
        <f t="shared" si="67"/>
        <v>-12.380252573210512</v>
      </c>
      <c r="W343" s="6">
        <f t="shared" si="68"/>
        <v>1.5402593359056713</v>
      </c>
      <c r="X343" s="6">
        <f t="shared" si="69"/>
        <v>-1.3864104612490538</v>
      </c>
      <c r="Y343" s="5">
        <f t="shared" si="70"/>
        <v>0.35869124331985858</v>
      </c>
      <c r="Z343" s="5">
        <f t="shared" si="71"/>
        <v>-9.7775050522537672</v>
      </c>
    </row>
    <row r="344" spans="10:26" x14ac:dyDescent="0.25">
      <c r="J344">
        <v>180</v>
      </c>
      <c r="K344">
        <v>0</v>
      </c>
      <c r="L344">
        <f t="shared" si="60"/>
        <v>-8.1425460800000007</v>
      </c>
      <c r="M344" s="2">
        <f t="shared" si="61"/>
        <v>-11.925208</v>
      </c>
      <c r="N344">
        <f t="shared" si="62"/>
        <v>1.0861704418264202E-15</v>
      </c>
      <c r="O344">
        <f t="shared" si="63"/>
        <v>3.7672106000000003</v>
      </c>
      <c r="P344" s="4">
        <f t="shared" si="64"/>
        <v>1.520914948224934</v>
      </c>
      <c r="Q344" s="4">
        <f t="shared" si="65"/>
        <v>-9.6696991035684796</v>
      </c>
      <c r="S344">
        <v>180</v>
      </c>
      <c r="T344">
        <v>0</v>
      </c>
      <c r="U344" s="6">
        <f t="shared" si="66"/>
        <v>-8.1499999999999986</v>
      </c>
      <c r="V344" s="7">
        <f t="shared" si="67"/>
        <v>-11.93</v>
      </c>
      <c r="W344" s="6">
        <f t="shared" si="68"/>
        <v>1.0867066795039458E-15</v>
      </c>
      <c r="X344" s="6">
        <f t="shared" si="69"/>
        <v>3.7600000000000033</v>
      </c>
      <c r="Y344" s="5">
        <f t="shared" si="70"/>
        <v>1.5180038528575379</v>
      </c>
      <c r="Z344" s="8">
        <f t="shared" si="71"/>
        <v>-9.6760783414365648</v>
      </c>
    </row>
    <row r="345" spans="10:26" x14ac:dyDescent="0.25">
      <c r="J345">
        <v>180</v>
      </c>
      <c r="K345">
        <v>10</v>
      </c>
      <c r="L345">
        <f t="shared" si="60"/>
        <v>-8.1425460800000007</v>
      </c>
      <c r="M345" s="2">
        <f t="shared" si="61"/>
        <v>-12.579377255577542</v>
      </c>
      <c r="N345">
        <f t="shared" si="62"/>
        <v>1.0861704418264202E-15</v>
      </c>
      <c r="O345">
        <f t="shared" si="63"/>
        <v>3.7099782061097724</v>
      </c>
      <c r="P345" s="4">
        <f t="shared" si="64"/>
        <v>1.4978088326840762</v>
      </c>
      <c r="Q345" s="4">
        <f t="shared" si="65"/>
        <v>-9.9338032127141336</v>
      </c>
      <c r="S345">
        <v>180</v>
      </c>
      <c r="T345">
        <v>10</v>
      </c>
      <c r="U345" s="6">
        <f t="shared" si="66"/>
        <v>-8.1499999999999986</v>
      </c>
      <c r="V345" s="7">
        <f t="shared" si="67"/>
        <v>-12.582917148027658</v>
      </c>
      <c r="W345" s="6">
        <f t="shared" si="68"/>
        <v>1.0867066795039458E-15</v>
      </c>
      <c r="X345" s="6">
        <f t="shared" si="69"/>
        <v>3.7028771513259056</v>
      </c>
      <c r="Y345" s="5">
        <f t="shared" si="70"/>
        <v>1.4949419633965064</v>
      </c>
      <c r="Z345" s="5">
        <f t="shared" si="71"/>
        <v>-9.9396769441766555</v>
      </c>
    </row>
    <row r="346" spans="10:26" x14ac:dyDescent="0.25">
      <c r="J346">
        <v>180</v>
      </c>
      <c r="K346">
        <v>20</v>
      </c>
      <c r="L346">
        <f t="shared" si="60"/>
        <v>-8.1425460800000007</v>
      </c>
      <c r="M346" s="2">
        <f t="shared" si="61"/>
        <v>-13.213669909349978</v>
      </c>
      <c r="N346">
        <f t="shared" si="62"/>
        <v>1.0861704418264202E-15</v>
      </c>
      <c r="O346">
        <f t="shared" si="63"/>
        <v>3.5400200017664551</v>
      </c>
      <c r="P346" s="4">
        <f t="shared" si="64"/>
        <v>1.4291925536899528</v>
      </c>
      <c r="Q346" s="4">
        <f t="shared" si="65"/>
        <v>-10.189882652146526</v>
      </c>
      <c r="S346">
        <v>180</v>
      </c>
      <c r="T346">
        <v>20</v>
      </c>
      <c r="U346" s="6">
        <f t="shared" si="66"/>
        <v>-8.1499999999999986</v>
      </c>
      <c r="V346" s="7">
        <f t="shared" si="67"/>
        <v>-13.215995738904514</v>
      </c>
      <c r="W346" s="6">
        <f t="shared" si="68"/>
        <v>1.0867066795039458E-15</v>
      </c>
      <c r="X346" s="6">
        <f t="shared" si="69"/>
        <v>3.5332442541550191</v>
      </c>
      <c r="Y346" s="5">
        <f t="shared" si="70"/>
        <v>1.4264570188548065</v>
      </c>
      <c r="Z346" s="5">
        <f t="shared" si="71"/>
        <v>-10.195266236759815</v>
      </c>
    </row>
    <row r="347" spans="10:26" x14ac:dyDescent="0.25">
      <c r="J347">
        <v>180</v>
      </c>
      <c r="K347">
        <v>30</v>
      </c>
      <c r="L347">
        <f t="shared" si="60"/>
        <v>-8.1425460800000007</v>
      </c>
      <c r="M347" s="2">
        <f t="shared" si="61"/>
        <v>-13.808813299999997</v>
      </c>
      <c r="N347">
        <f t="shared" si="62"/>
        <v>1.0861704418264202E-15</v>
      </c>
      <c r="O347">
        <f t="shared" si="63"/>
        <v>3.2625000810060181</v>
      </c>
      <c r="P347" s="4">
        <f t="shared" si="64"/>
        <v>1.3171509821582876</v>
      </c>
      <c r="Q347" s="4">
        <f t="shared" si="65"/>
        <v>-10.430156577680945</v>
      </c>
      <c r="S347">
        <v>180</v>
      </c>
      <c r="T347">
        <v>30</v>
      </c>
      <c r="U347" s="6">
        <f t="shared" si="66"/>
        <v>-8.1499999999999986</v>
      </c>
      <c r="V347" s="7">
        <f t="shared" si="67"/>
        <v>-13.809999999999999</v>
      </c>
      <c r="W347" s="6">
        <f t="shared" si="68"/>
        <v>1.0867066795039458E-15</v>
      </c>
      <c r="X347" s="6">
        <f t="shared" si="69"/>
        <v>3.2562555182294926</v>
      </c>
      <c r="Y347" s="5">
        <f t="shared" si="70"/>
        <v>1.3146298996172832</v>
      </c>
      <c r="Z347" s="5">
        <f t="shared" si="71"/>
        <v>-10.435080267865333</v>
      </c>
    </row>
    <row r="348" spans="10:26" x14ac:dyDescent="0.25">
      <c r="J348">
        <v>180</v>
      </c>
      <c r="K348">
        <v>40</v>
      </c>
      <c r="L348">
        <f t="shared" si="60"/>
        <v>-8.1425460800000007</v>
      </c>
      <c r="M348" s="2">
        <f t="shared" si="61"/>
        <v>-14.346724296759792</v>
      </c>
      <c r="N348">
        <f t="shared" si="62"/>
        <v>1.0861704418264202E-15</v>
      </c>
      <c r="O348">
        <f t="shared" si="63"/>
        <v>2.8858507461889116</v>
      </c>
      <c r="P348" s="4">
        <f t="shared" si="64"/>
        <v>1.1650884445442995</v>
      </c>
      <c r="Q348" s="4">
        <f t="shared" si="65"/>
        <v>-10.647324387674512</v>
      </c>
      <c r="S348">
        <v>180</v>
      </c>
      <c r="T348">
        <v>40</v>
      </c>
      <c r="U348" s="6">
        <f t="shared" si="66"/>
        <v>-8.1499999999999986</v>
      </c>
      <c r="V348" s="7">
        <f t="shared" si="67"/>
        <v>-14.346881412421389</v>
      </c>
      <c r="W348" s="6">
        <f t="shared" si="68"/>
        <v>1.0867066795039458E-15</v>
      </c>
      <c r="X348" s="6">
        <f t="shared" si="69"/>
        <v>2.8803271061273601</v>
      </c>
      <c r="Y348" s="5">
        <f t="shared" si="70"/>
        <v>1.162858416114716</v>
      </c>
      <c r="Z348" s="5">
        <f t="shared" si="71"/>
        <v>-10.651832409509819</v>
      </c>
    </row>
    <row r="349" spans="10:26" x14ac:dyDescent="0.25">
      <c r="J349">
        <v>180</v>
      </c>
      <c r="K349">
        <v>50</v>
      </c>
      <c r="L349">
        <f t="shared" si="60"/>
        <v>-8.1425460800000007</v>
      </c>
      <c r="M349" s="2">
        <f t="shared" si="61"/>
        <v>-14.811058746188909</v>
      </c>
      <c r="N349">
        <f t="shared" si="62"/>
        <v>1.0861704418264202E-15</v>
      </c>
      <c r="O349">
        <f t="shared" si="63"/>
        <v>2.421516296759795</v>
      </c>
      <c r="P349" s="4">
        <f t="shared" si="64"/>
        <v>0.977625284106033</v>
      </c>
      <c r="Q349" s="4">
        <f t="shared" si="65"/>
        <v>-10.834787548112779</v>
      </c>
      <c r="S349">
        <v>180</v>
      </c>
      <c r="T349">
        <v>50</v>
      </c>
      <c r="U349" s="6">
        <f t="shared" si="66"/>
        <v>-8.1499999999999986</v>
      </c>
      <c r="V349" s="7">
        <f t="shared" si="67"/>
        <v>-14.810327106127358</v>
      </c>
      <c r="W349" s="6">
        <f t="shared" si="68"/>
        <v>1.0867066795039458E-15</v>
      </c>
      <c r="X349" s="6">
        <f t="shared" si="69"/>
        <v>2.4168814124213913</v>
      </c>
      <c r="Y349" s="5">
        <f t="shared" si="70"/>
        <v>0.97575406807325471</v>
      </c>
      <c r="Z349" s="5">
        <f t="shared" si="71"/>
        <v>-10.838936757551279</v>
      </c>
    </row>
    <row r="350" spans="10:26" x14ac:dyDescent="0.25">
      <c r="J350">
        <v>180</v>
      </c>
      <c r="K350">
        <v>60</v>
      </c>
      <c r="L350">
        <f t="shared" si="60"/>
        <v>-8.1425460800000007</v>
      </c>
      <c r="M350" s="2">
        <f t="shared" si="61"/>
        <v>-15.187708081006015</v>
      </c>
      <c r="N350">
        <f t="shared" si="62"/>
        <v>1.0861704418264202E-15</v>
      </c>
      <c r="O350">
        <f t="shared" si="63"/>
        <v>1.8836053000000006</v>
      </c>
      <c r="P350" s="4">
        <f t="shared" si="64"/>
        <v>0.76045747411246767</v>
      </c>
      <c r="Q350" s="4">
        <f t="shared" si="65"/>
        <v>-10.986850085726767</v>
      </c>
      <c r="S350">
        <v>180</v>
      </c>
      <c r="T350">
        <v>60</v>
      </c>
      <c r="U350" s="6">
        <f t="shared" si="66"/>
        <v>-8.1499999999999986</v>
      </c>
      <c r="V350" s="7">
        <f t="shared" si="67"/>
        <v>-15.18625551822949</v>
      </c>
      <c r="W350" s="6">
        <f t="shared" si="68"/>
        <v>1.0867066795039458E-15</v>
      </c>
      <c r="X350" s="6">
        <f t="shared" si="69"/>
        <v>1.8800000000000021</v>
      </c>
      <c r="Y350" s="5">
        <f t="shared" si="70"/>
        <v>0.75900192642876951</v>
      </c>
      <c r="Z350" s="5">
        <f t="shared" si="71"/>
        <v>-10.990708241053847</v>
      </c>
    </row>
    <row r="351" spans="10:26" x14ac:dyDescent="0.25">
      <c r="J351">
        <v>180</v>
      </c>
      <c r="K351">
        <v>70</v>
      </c>
      <c r="L351">
        <f t="shared" si="60"/>
        <v>-8.1425460800000007</v>
      </c>
      <c r="M351" s="2">
        <f t="shared" si="61"/>
        <v>-15.465228001766452</v>
      </c>
      <c r="N351">
        <f t="shared" si="62"/>
        <v>1.0861704418264202E-15</v>
      </c>
      <c r="O351">
        <f t="shared" si="63"/>
        <v>1.2884619093499801</v>
      </c>
      <c r="P351" s="4">
        <f t="shared" si="64"/>
        <v>0.52018354857804505</v>
      </c>
      <c r="Q351" s="4">
        <f t="shared" si="65"/>
        <v>-11.098891657258433</v>
      </c>
      <c r="S351">
        <v>180</v>
      </c>
      <c r="T351">
        <v>70</v>
      </c>
      <c r="U351" s="6">
        <f t="shared" si="66"/>
        <v>-8.1499999999999986</v>
      </c>
      <c r="V351" s="7">
        <f t="shared" si="67"/>
        <v>-15.463244254155017</v>
      </c>
      <c r="W351" s="6">
        <f t="shared" si="68"/>
        <v>1.0867066795039458E-15</v>
      </c>
      <c r="X351" s="6">
        <f t="shared" si="69"/>
        <v>1.2859957389045171</v>
      </c>
      <c r="Y351" s="5">
        <f t="shared" si="70"/>
        <v>0.5191878953232536</v>
      </c>
      <c r="Z351" s="5">
        <f t="shared" si="71"/>
        <v>-11.10253536029137</v>
      </c>
    </row>
    <row r="352" spans="10:26" x14ac:dyDescent="0.25">
      <c r="J352">
        <v>180</v>
      </c>
      <c r="K352">
        <v>80</v>
      </c>
      <c r="L352">
        <f t="shared" si="60"/>
        <v>-8.1425460800000007</v>
      </c>
      <c r="M352" s="2">
        <f t="shared" si="61"/>
        <v>-15.63518620610977</v>
      </c>
      <c r="N352">
        <f t="shared" si="62"/>
        <v>1.0861704418264202E-15</v>
      </c>
      <c r="O352">
        <f t="shared" si="63"/>
        <v>0.65416925557754446</v>
      </c>
      <c r="P352" s="4">
        <f t="shared" si="64"/>
        <v>0.26410410914565458</v>
      </c>
      <c r="Q352" s="4">
        <f t="shared" si="65"/>
        <v>-11.167507936252557</v>
      </c>
      <c r="S352">
        <v>180</v>
      </c>
      <c r="T352">
        <v>80</v>
      </c>
      <c r="U352" s="6">
        <f t="shared" si="66"/>
        <v>-8.1499999999999986</v>
      </c>
      <c r="V352" s="7">
        <f t="shared" si="67"/>
        <v>-15.632877151325903</v>
      </c>
      <c r="W352" s="6">
        <f t="shared" si="68"/>
        <v>1.0867066795039458E-15</v>
      </c>
      <c r="X352" s="6">
        <f t="shared" si="69"/>
        <v>0.65291714802765977</v>
      </c>
      <c r="Y352" s="5">
        <f t="shared" si="70"/>
        <v>0.26359860274009156</v>
      </c>
      <c r="Z352" s="5">
        <f t="shared" si="71"/>
        <v>-11.171020304833071</v>
      </c>
    </row>
    <row r="353" spans="10:26" x14ac:dyDescent="0.25">
      <c r="J353">
        <v>180</v>
      </c>
      <c r="K353">
        <v>90</v>
      </c>
      <c r="L353">
        <f t="shared" si="60"/>
        <v>-8.1425460800000007</v>
      </c>
      <c r="M353" s="2">
        <f t="shared" si="61"/>
        <v>-15.692418599999998</v>
      </c>
      <c r="N353">
        <f t="shared" si="62"/>
        <v>1.0861704418264202E-15</v>
      </c>
      <c r="O353">
        <f t="shared" si="63"/>
        <v>2.0958872634386367E-15</v>
      </c>
      <c r="P353" s="4">
        <f t="shared" si="64"/>
        <v>1.4938177890345081E-15</v>
      </c>
      <c r="Q353" s="4">
        <f t="shared" si="65"/>
        <v>-11.190614051793412</v>
      </c>
      <c r="S353">
        <v>180</v>
      </c>
      <c r="T353">
        <v>90</v>
      </c>
      <c r="U353" s="6">
        <f t="shared" si="66"/>
        <v>-8.1499999999999986</v>
      </c>
      <c r="V353" s="7">
        <f t="shared" si="67"/>
        <v>-15.690000000000001</v>
      </c>
      <c r="W353" s="6">
        <f t="shared" si="68"/>
        <v>1.0867066795039458E-15</v>
      </c>
      <c r="X353" s="6">
        <f t="shared" si="69"/>
        <v>2.0950038578937406E-15</v>
      </c>
      <c r="Y353" s="5">
        <f t="shared" si="70"/>
        <v>1.4937808820627467E-15</v>
      </c>
      <c r="Z353" s="5">
        <f t="shared" si="71"/>
        <v>-11.194082194294102</v>
      </c>
    </row>
    <row r="354" spans="10:26" x14ac:dyDescent="0.25">
      <c r="J354">
        <v>180</v>
      </c>
      <c r="K354">
        <v>100</v>
      </c>
      <c r="L354">
        <f t="shared" si="60"/>
        <v>-8.1425460800000007</v>
      </c>
      <c r="M354" s="2">
        <f t="shared" si="61"/>
        <v>-15.63518620610977</v>
      </c>
      <c r="N354">
        <f t="shared" si="62"/>
        <v>1.0861704418264202E-15</v>
      </c>
      <c r="O354">
        <f t="shared" si="63"/>
        <v>-0.6541692555775418</v>
      </c>
      <c r="P354" s="4">
        <f t="shared" si="64"/>
        <v>-0.26410410914565219</v>
      </c>
      <c r="Q354" s="4">
        <f t="shared" si="65"/>
        <v>-11.167507936252557</v>
      </c>
      <c r="S354">
        <v>180</v>
      </c>
      <c r="T354">
        <v>100</v>
      </c>
      <c r="U354" s="6">
        <f t="shared" si="66"/>
        <v>-8.1499999999999986</v>
      </c>
      <c r="V354" s="7">
        <f t="shared" si="67"/>
        <v>-15.632877151325903</v>
      </c>
      <c r="W354" s="6">
        <f t="shared" si="68"/>
        <v>1.0867066795039458E-15</v>
      </c>
      <c r="X354" s="6">
        <f t="shared" si="69"/>
        <v>-0.65291714802765721</v>
      </c>
      <c r="Y354" s="5">
        <f t="shared" si="70"/>
        <v>-0.26359860274008917</v>
      </c>
      <c r="Z354" s="5">
        <f t="shared" si="71"/>
        <v>-11.171020304833071</v>
      </c>
    </row>
    <row r="355" spans="10:26" x14ac:dyDescent="0.25">
      <c r="J355">
        <v>180</v>
      </c>
      <c r="K355">
        <v>110</v>
      </c>
      <c r="L355">
        <f t="shared" si="60"/>
        <v>-8.1425460800000007</v>
      </c>
      <c r="M355" s="2">
        <f t="shared" si="61"/>
        <v>-15.465228001766453</v>
      </c>
      <c r="N355">
        <f t="shared" si="62"/>
        <v>1.0861704418264202E-15</v>
      </c>
      <c r="O355">
        <f t="shared" si="63"/>
        <v>-1.2884619093499761</v>
      </c>
      <c r="P355" s="4">
        <f t="shared" si="64"/>
        <v>-0.52018354857804217</v>
      </c>
      <c r="Q355" s="4">
        <f t="shared" si="65"/>
        <v>-11.098891657258433</v>
      </c>
      <c r="S355">
        <v>180</v>
      </c>
      <c r="T355">
        <v>110</v>
      </c>
      <c r="U355" s="6">
        <f t="shared" si="66"/>
        <v>-8.1499999999999986</v>
      </c>
      <c r="V355" s="7">
        <f t="shared" si="67"/>
        <v>-15.463244254155017</v>
      </c>
      <c r="W355" s="6">
        <f t="shared" si="68"/>
        <v>1.0867066795039458E-15</v>
      </c>
      <c r="X355" s="6">
        <f t="shared" si="69"/>
        <v>-1.2859957389045131</v>
      </c>
      <c r="Y355" s="5">
        <f t="shared" si="70"/>
        <v>-0.51918789532325071</v>
      </c>
      <c r="Z355" s="5">
        <f t="shared" si="71"/>
        <v>-11.10253536029137</v>
      </c>
    </row>
    <row r="356" spans="10:26" x14ac:dyDescent="0.25">
      <c r="J356">
        <v>180</v>
      </c>
      <c r="K356">
        <v>120</v>
      </c>
      <c r="L356">
        <f t="shared" si="60"/>
        <v>-8.1425460800000007</v>
      </c>
      <c r="M356" s="2">
        <f t="shared" si="61"/>
        <v>-15.187708081006015</v>
      </c>
      <c r="N356">
        <f t="shared" si="62"/>
        <v>1.0861704418264202E-15</v>
      </c>
      <c r="O356">
        <f t="shared" si="63"/>
        <v>-1.8836052999999982</v>
      </c>
      <c r="P356" s="4">
        <f t="shared" si="64"/>
        <v>-0.76045747411246534</v>
      </c>
      <c r="Q356" s="4">
        <f t="shared" si="65"/>
        <v>-10.986850085726767</v>
      </c>
      <c r="S356">
        <v>180</v>
      </c>
      <c r="T356">
        <v>120</v>
      </c>
      <c r="U356" s="6">
        <f t="shared" si="66"/>
        <v>-8.1499999999999986</v>
      </c>
      <c r="V356" s="7">
        <f t="shared" si="67"/>
        <v>-15.18625551822949</v>
      </c>
      <c r="W356" s="6">
        <f t="shared" si="68"/>
        <v>1.0867066795039458E-15</v>
      </c>
      <c r="X356" s="6">
        <f t="shared" si="69"/>
        <v>-1.8799999999999997</v>
      </c>
      <c r="Y356" s="5">
        <f t="shared" si="70"/>
        <v>-0.75900192642876729</v>
      </c>
      <c r="Z356" s="5">
        <f t="shared" si="71"/>
        <v>-10.990708241053847</v>
      </c>
    </row>
    <row r="357" spans="10:26" x14ac:dyDescent="0.25">
      <c r="J357">
        <v>180</v>
      </c>
      <c r="K357">
        <v>130</v>
      </c>
      <c r="L357">
        <f t="shared" si="60"/>
        <v>-8.1425460800000007</v>
      </c>
      <c r="M357" s="2">
        <f t="shared" si="61"/>
        <v>-14.811058746188909</v>
      </c>
      <c r="N357">
        <f t="shared" si="62"/>
        <v>1.0861704418264202E-15</v>
      </c>
      <c r="O357">
        <f t="shared" si="63"/>
        <v>-2.4215162967597905</v>
      </c>
      <c r="P357" s="4">
        <f t="shared" si="64"/>
        <v>-0.97762528410602989</v>
      </c>
      <c r="Q357" s="4">
        <f t="shared" si="65"/>
        <v>-10.834787548112779</v>
      </c>
      <c r="S357">
        <v>180</v>
      </c>
      <c r="T357">
        <v>130</v>
      </c>
      <c r="U357" s="6">
        <f t="shared" si="66"/>
        <v>-8.1499999999999986</v>
      </c>
      <c r="V357" s="7">
        <f t="shared" si="67"/>
        <v>-14.810327106127358</v>
      </c>
      <c r="W357" s="6">
        <f t="shared" si="68"/>
        <v>1.0867066795039458E-15</v>
      </c>
      <c r="X357" s="6">
        <f t="shared" si="69"/>
        <v>-2.4168814124213869</v>
      </c>
      <c r="Y357" s="5">
        <f t="shared" si="70"/>
        <v>-0.97575406807325171</v>
      </c>
      <c r="Z357" s="5">
        <f t="shared" si="71"/>
        <v>-10.838936757551279</v>
      </c>
    </row>
    <row r="358" spans="10:26" x14ac:dyDescent="0.25">
      <c r="J358">
        <v>180</v>
      </c>
      <c r="K358">
        <v>140</v>
      </c>
      <c r="L358">
        <f t="shared" si="60"/>
        <v>-8.1425460800000007</v>
      </c>
      <c r="M358" s="2">
        <f t="shared" si="61"/>
        <v>-14.346724296759792</v>
      </c>
      <c r="N358">
        <f t="shared" si="62"/>
        <v>1.0861704418264202E-15</v>
      </c>
      <c r="O358">
        <f t="shared" si="63"/>
        <v>-2.8858507461889076</v>
      </c>
      <c r="P358" s="4">
        <f t="shared" si="64"/>
        <v>-1.1650884445442964</v>
      </c>
      <c r="Q358" s="4">
        <f t="shared" si="65"/>
        <v>-10.647324387674512</v>
      </c>
      <c r="S358">
        <v>180</v>
      </c>
      <c r="T358">
        <v>140</v>
      </c>
      <c r="U358" s="6">
        <f t="shared" si="66"/>
        <v>-8.1499999999999986</v>
      </c>
      <c r="V358" s="7">
        <f t="shared" si="67"/>
        <v>-14.346881412421389</v>
      </c>
      <c r="W358" s="6">
        <f t="shared" si="68"/>
        <v>1.0867066795039458E-15</v>
      </c>
      <c r="X358" s="6">
        <f t="shared" si="69"/>
        <v>-2.8803271061273565</v>
      </c>
      <c r="Y358" s="5">
        <f t="shared" si="70"/>
        <v>-1.1628584161147133</v>
      </c>
      <c r="Z358" s="5">
        <f t="shared" si="71"/>
        <v>-10.651832409509819</v>
      </c>
    </row>
    <row r="359" spans="10:26" x14ac:dyDescent="0.25">
      <c r="J359">
        <v>180</v>
      </c>
      <c r="K359">
        <v>150</v>
      </c>
      <c r="L359">
        <f t="shared" si="60"/>
        <v>-8.1425460800000007</v>
      </c>
      <c r="M359" s="2">
        <f t="shared" si="61"/>
        <v>-13.808813300000001</v>
      </c>
      <c r="N359">
        <f t="shared" si="62"/>
        <v>1.0861704418264202E-15</v>
      </c>
      <c r="O359">
        <f t="shared" si="63"/>
        <v>-3.2625000810060132</v>
      </c>
      <c r="P359" s="4">
        <f t="shared" si="64"/>
        <v>-1.3171509821582845</v>
      </c>
      <c r="Q359" s="4">
        <f t="shared" si="65"/>
        <v>-10.430156577680947</v>
      </c>
      <c r="S359">
        <v>180</v>
      </c>
      <c r="T359">
        <v>150</v>
      </c>
      <c r="U359" s="6">
        <f t="shared" si="66"/>
        <v>-8.1499999999999986</v>
      </c>
      <c r="V359" s="7">
        <f t="shared" si="67"/>
        <v>-13.810000000000002</v>
      </c>
      <c r="W359" s="6">
        <f t="shared" si="68"/>
        <v>1.0867066795039458E-15</v>
      </c>
      <c r="X359" s="6">
        <f t="shared" si="69"/>
        <v>-3.2562555182294877</v>
      </c>
      <c r="Y359" s="5">
        <f t="shared" si="70"/>
        <v>-1.3146298996172801</v>
      </c>
      <c r="Z359" s="5">
        <f t="shared" si="71"/>
        <v>-10.435080267865334</v>
      </c>
    </row>
    <row r="360" spans="10:26" x14ac:dyDescent="0.25">
      <c r="J360">
        <v>180</v>
      </c>
      <c r="K360">
        <v>160</v>
      </c>
      <c r="L360">
        <f t="shared" si="60"/>
        <v>-8.1425460800000007</v>
      </c>
      <c r="M360" s="2">
        <f t="shared" si="61"/>
        <v>-13.21366990934998</v>
      </c>
      <c r="N360">
        <f t="shared" si="62"/>
        <v>1.0861704418264202E-15</v>
      </c>
      <c r="O360">
        <f t="shared" si="63"/>
        <v>-3.5400200017664507</v>
      </c>
      <c r="P360" s="4">
        <f t="shared" si="64"/>
        <v>-1.4291925536899499</v>
      </c>
      <c r="Q360" s="4">
        <f t="shared" si="65"/>
        <v>-10.189882652146526</v>
      </c>
      <c r="S360">
        <v>180</v>
      </c>
      <c r="T360">
        <v>160</v>
      </c>
      <c r="U360" s="6">
        <f t="shared" si="66"/>
        <v>-8.1499999999999986</v>
      </c>
      <c r="V360" s="7">
        <f t="shared" si="67"/>
        <v>-13.215995738904518</v>
      </c>
      <c r="W360" s="6">
        <f t="shared" si="68"/>
        <v>1.0867066795039458E-15</v>
      </c>
      <c r="X360" s="6">
        <f t="shared" si="69"/>
        <v>-3.5332442541550146</v>
      </c>
      <c r="Y360" s="5">
        <f t="shared" si="70"/>
        <v>-1.4264570188548036</v>
      </c>
      <c r="Z360" s="5">
        <f t="shared" si="71"/>
        <v>-10.195266236759817</v>
      </c>
    </row>
    <row r="361" spans="10:26" x14ac:dyDescent="0.25">
      <c r="J361">
        <v>180</v>
      </c>
      <c r="K361">
        <v>170</v>
      </c>
      <c r="L361">
        <f t="shared" si="60"/>
        <v>-8.1425460800000007</v>
      </c>
      <c r="M361" s="2">
        <f t="shared" si="61"/>
        <v>-12.579377255577542</v>
      </c>
      <c r="N361">
        <f t="shared" si="62"/>
        <v>1.0861704418264202E-15</v>
      </c>
      <c r="O361">
        <f t="shared" si="63"/>
        <v>-3.7099782061097688</v>
      </c>
      <c r="P361" s="4">
        <f t="shared" si="64"/>
        <v>-1.4978088326840737</v>
      </c>
      <c r="Q361" s="4">
        <f t="shared" si="65"/>
        <v>-9.9338032127141336</v>
      </c>
      <c r="S361">
        <v>180</v>
      </c>
      <c r="T361">
        <v>170</v>
      </c>
      <c r="U361" s="6">
        <f t="shared" si="66"/>
        <v>-8.1499999999999986</v>
      </c>
      <c r="V361" s="7">
        <f t="shared" si="67"/>
        <v>-12.582917148027658</v>
      </c>
      <c r="W361" s="6">
        <f t="shared" si="68"/>
        <v>1.0867066795039458E-15</v>
      </c>
      <c r="X361" s="6">
        <f t="shared" si="69"/>
        <v>-3.702877151325902</v>
      </c>
      <c r="Y361" s="5">
        <f t="shared" si="70"/>
        <v>-1.494941963396504</v>
      </c>
      <c r="Z361" s="5">
        <f t="shared" si="71"/>
        <v>-9.9396769441766555</v>
      </c>
    </row>
    <row r="362" spans="10:26" x14ac:dyDescent="0.25">
      <c r="J362">
        <v>180</v>
      </c>
      <c r="K362">
        <v>180</v>
      </c>
      <c r="L362">
        <f t="shared" si="60"/>
        <v>-8.1425460800000007</v>
      </c>
      <c r="M362" s="2">
        <f t="shared" si="61"/>
        <v>-11.925208</v>
      </c>
      <c r="N362">
        <f t="shared" si="62"/>
        <v>1.0861704418264202E-15</v>
      </c>
      <c r="O362">
        <f t="shared" si="63"/>
        <v>-3.7672105999999967</v>
      </c>
      <c r="P362" s="4">
        <f t="shared" si="64"/>
        <v>-1.5209149482249318</v>
      </c>
      <c r="Q362" s="4">
        <f t="shared" si="65"/>
        <v>-9.6696991035684796</v>
      </c>
      <c r="S362">
        <v>180</v>
      </c>
      <c r="T362">
        <v>180</v>
      </c>
      <c r="U362" s="6">
        <f t="shared" si="66"/>
        <v>-8.1499999999999986</v>
      </c>
      <c r="V362" s="7">
        <f t="shared" si="67"/>
        <v>-11.93</v>
      </c>
      <c r="W362" s="6">
        <f t="shared" si="68"/>
        <v>1.0867066795039458E-15</v>
      </c>
      <c r="X362" s="6">
        <f t="shared" si="69"/>
        <v>-3.76</v>
      </c>
      <c r="Y362" s="5">
        <f t="shared" si="70"/>
        <v>-1.5180038528575355</v>
      </c>
      <c r="Z362" s="5">
        <f t="shared" si="71"/>
        <v>-9.6760783414365648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E41"/>
  <sheetViews>
    <sheetView workbookViewId="0">
      <selection activeCell="D15" sqref="D15"/>
    </sheetView>
  </sheetViews>
  <sheetFormatPr defaultRowHeight="15" x14ac:dyDescent="0.25"/>
  <sheetData>
    <row r="1" spans="2:5" x14ac:dyDescent="0.25">
      <c r="B1" t="s">
        <v>26</v>
      </c>
      <c r="C1" t="s">
        <v>25</v>
      </c>
      <c r="D1" t="s">
        <v>23</v>
      </c>
      <c r="E1" t="s">
        <v>24</v>
      </c>
    </row>
    <row r="2" spans="2:5" x14ac:dyDescent="0.25">
      <c r="B2">
        <v>90</v>
      </c>
      <c r="C2">
        <v>0</v>
      </c>
      <c r="D2">
        <v>9.25</v>
      </c>
      <c r="E2">
        <v>-1.47</v>
      </c>
    </row>
    <row r="3" spans="2:5" x14ac:dyDescent="0.25">
      <c r="C3">
        <v>5</v>
      </c>
      <c r="D3">
        <v>9.34</v>
      </c>
      <c r="E3">
        <v>-0.66400000000000003</v>
      </c>
    </row>
    <row r="4" spans="2:5" x14ac:dyDescent="0.25">
      <c r="C4">
        <v>10</v>
      </c>
      <c r="D4">
        <v>9.36</v>
      </c>
      <c r="E4">
        <v>0.153</v>
      </c>
    </row>
    <row r="5" spans="2:5" x14ac:dyDescent="0.25">
      <c r="C5">
        <v>15</v>
      </c>
      <c r="D5">
        <v>9.3140000000000001</v>
      </c>
      <c r="E5">
        <v>0.96799999999999997</v>
      </c>
    </row>
    <row r="6" spans="2:5" x14ac:dyDescent="0.25">
      <c r="C6">
        <v>20</v>
      </c>
      <c r="D6">
        <v>9.1940000000000008</v>
      </c>
      <c r="E6">
        <v>1.776</v>
      </c>
    </row>
    <row r="7" spans="2:5" x14ac:dyDescent="0.25">
      <c r="C7">
        <v>25</v>
      </c>
      <c r="D7">
        <v>9.0039999999999996</v>
      </c>
      <c r="E7">
        <v>2.57</v>
      </c>
    </row>
    <row r="8" spans="2:5" x14ac:dyDescent="0.25">
      <c r="C8">
        <v>30</v>
      </c>
      <c r="D8">
        <v>8.7460000000000004</v>
      </c>
      <c r="E8">
        <v>3.3460000000000001</v>
      </c>
    </row>
    <row r="9" spans="2:5" x14ac:dyDescent="0.25">
      <c r="C9">
        <v>35</v>
      </c>
      <c r="D9">
        <v>8.4209999999999994</v>
      </c>
      <c r="E9">
        <v>4.0949999999999998</v>
      </c>
    </row>
    <row r="10" spans="2:5" x14ac:dyDescent="0.25">
      <c r="C10">
        <v>40</v>
      </c>
      <c r="D10">
        <v>8.032</v>
      </c>
      <c r="E10">
        <v>4.8129999999999997</v>
      </c>
    </row>
    <row r="11" spans="2:5" x14ac:dyDescent="0.25">
      <c r="C11">
        <v>45</v>
      </c>
      <c r="D11">
        <v>7.5819999999999999</v>
      </c>
      <c r="E11">
        <v>5.4950000000000001</v>
      </c>
    </row>
    <row r="12" spans="2:5" x14ac:dyDescent="0.25">
      <c r="C12">
        <v>50</v>
      </c>
      <c r="D12">
        <v>7.0739999999999998</v>
      </c>
      <c r="E12">
        <v>6.1349999999999998</v>
      </c>
    </row>
    <row r="13" spans="2:5" x14ac:dyDescent="0.25">
      <c r="C13">
        <v>55</v>
      </c>
      <c r="D13">
        <v>6.5129999999999999</v>
      </c>
      <c r="E13">
        <v>6.7279999999999998</v>
      </c>
    </row>
    <row r="14" spans="2:5" x14ac:dyDescent="0.25">
      <c r="C14">
        <v>60</v>
      </c>
      <c r="D14">
        <v>5.9009999999999998</v>
      </c>
      <c r="E14">
        <v>7.27</v>
      </c>
    </row>
    <row r="15" spans="2:5" x14ac:dyDescent="0.25">
      <c r="C15">
        <v>65</v>
      </c>
    </row>
    <row r="16" spans="2:5" x14ac:dyDescent="0.25">
      <c r="C16">
        <v>70</v>
      </c>
    </row>
    <row r="17" spans="3:3" x14ac:dyDescent="0.25">
      <c r="C17">
        <v>75</v>
      </c>
    </row>
    <row r="18" spans="3:3" x14ac:dyDescent="0.25">
      <c r="C18">
        <v>80</v>
      </c>
    </row>
    <row r="19" spans="3:3" x14ac:dyDescent="0.25">
      <c r="C19">
        <v>85</v>
      </c>
    </row>
    <row r="20" spans="3:3" x14ac:dyDescent="0.25">
      <c r="C20">
        <v>90</v>
      </c>
    </row>
    <row r="21" spans="3:3" x14ac:dyDescent="0.25">
      <c r="C21">
        <v>95</v>
      </c>
    </row>
    <row r="22" spans="3:3" x14ac:dyDescent="0.25">
      <c r="C22">
        <v>100</v>
      </c>
    </row>
    <row r="23" spans="3:3" x14ac:dyDescent="0.25">
      <c r="C23">
        <v>105</v>
      </c>
    </row>
    <row r="24" spans="3:3" x14ac:dyDescent="0.25">
      <c r="C24">
        <v>110</v>
      </c>
    </row>
    <row r="25" spans="3:3" x14ac:dyDescent="0.25">
      <c r="C25">
        <v>115</v>
      </c>
    </row>
    <row r="26" spans="3:3" x14ac:dyDescent="0.25">
      <c r="C26">
        <v>120</v>
      </c>
    </row>
    <row r="27" spans="3:3" x14ac:dyDescent="0.25">
      <c r="C27">
        <v>125</v>
      </c>
    </row>
    <row r="28" spans="3:3" x14ac:dyDescent="0.25">
      <c r="C28">
        <v>130</v>
      </c>
    </row>
    <row r="29" spans="3:3" x14ac:dyDescent="0.25">
      <c r="C29">
        <v>135</v>
      </c>
    </row>
    <row r="30" spans="3:3" x14ac:dyDescent="0.25">
      <c r="C30">
        <v>140</v>
      </c>
    </row>
    <row r="31" spans="3:3" x14ac:dyDescent="0.25">
      <c r="C31">
        <v>145</v>
      </c>
    </row>
    <row r="32" spans="3:3" x14ac:dyDescent="0.25">
      <c r="C32">
        <v>150</v>
      </c>
    </row>
    <row r="33" spans="3:3" x14ac:dyDescent="0.25">
      <c r="C33">
        <v>155</v>
      </c>
    </row>
    <row r="34" spans="3:3" x14ac:dyDescent="0.25">
      <c r="C34">
        <v>160</v>
      </c>
    </row>
    <row r="35" spans="3:3" x14ac:dyDescent="0.25">
      <c r="C35">
        <v>165</v>
      </c>
    </row>
    <row r="36" spans="3:3" x14ac:dyDescent="0.25">
      <c r="C36">
        <v>170</v>
      </c>
    </row>
    <row r="37" spans="3:3" x14ac:dyDescent="0.25">
      <c r="C37">
        <v>175</v>
      </c>
    </row>
    <row r="38" spans="3:3" x14ac:dyDescent="0.25">
      <c r="C38">
        <v>180</v>
      </c>
    </row>
    <row r="39" spans="3:3" x14ac:dyDescent="0.25">
      <c r="C39">
        <v>185</v>
      </c>
    </row>
    <row r="40" spans="3:3" x14ac:dyDescent="0.25">
      <c r="C40">
        <v>190</v>
      </c>
    </row>
    <row r="41" spans="3:3" x14ac:dyDescent="0.25">
      <c r="C41">
        <v>195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Msk</dc:creator>
  <cp:lastModifiedBy>Karthik Msk</cp:lastModifiedBy>
  <dcterms:created xsi:type="dcterms:W3CDTF">2017-07-12T10:24:39Z</dcterms:created>
  <dcterms:modified xsi:type="dcterms:W3CDTF">2017-07-18T19:14:07Z</dcterms:modified>
</cp:coreProperties>
</file>